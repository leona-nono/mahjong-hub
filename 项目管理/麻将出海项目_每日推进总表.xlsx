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1eeb53ca9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31d2290bf619456f"/>
    <x:sheet xmlns:r="http://schemas.openxmlformats.org/officeDocument/2006/relationships" name="工作清单" sheetId="2" r:id="R1215221ee1e9439a"/>
    <x:sheet xmlns:r="http://schemas.openxmlformats.org/officeDocument/2006/relationships" name="每日推进" sheetId="3" r:id="R8627fe2efc774191"/>
    <x:sheet xmlns:r="http://schemas.openxmlformats.org/officeDocument/2006/relationships" name="里程碑" sheetId="4" r:id="Rac953f9b4bd14b18"/>
    <x:sheet xmlns:r="http://schemas.openxmlformats.org/officeDocument/2006/relationships" name="使用说明" sheetId="5" r:id="Ra8d77b430ef8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B7F"/>
      <x:name val="Carlito"/>
    </x:font>
    <x:font>
      <x:b/>
      <x:sz val="10"/>
      <x:color rgb="FFFFFFFF"/>
      <x:name val="Carlito"/>
    </x:font>
    <x:font>
      <x:sz val="9"/>
      <x:color rgb="FF263445"/>
      <x:name val="Carlito"/>
    </x:font>
    <x:font>
      <x:b/>
      <x:sz val="11"/>
      <x:color rgb="FF17324D"/>
      <x:name val="Carlito"/>
    </x:font>
    <x:font>
      <x:b/>
      <x:sz val="18"/>
      <x:color rgb="FF2563EB"/>
      <x:name val="Carlito"/>
    </x:font>
    <x:font>
      <x:b/>
      <x:sz val="18"/>
      <x:color rgb="FF15803D"/>
      <x:name val="Carlito"/>
    </x:font>
    <x:font>
      <x:b/>
      <x:sz val="18"/>
      <x:color rgb="FFB91C1C"/>
      <x:name val="Carlito"/>
    </x:font>
    <x:font>
      <x:b/>
      <x:sz val="18"/>
      <x:color rgb="FF7C3AED"/>
      <x:name val="Carlito"/>
    </x:font>
    <x:font>
      <x:sz val="9"/>
      <x:name val="Carlito"/>
    </x:font>
    <x:font>
      <x:sz val="9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F8FAFC"/>
      </x:patternFill>
    </x:fill>
  </x:fills>
  <x:borders count="21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bottom style="thin">
        <x:color rgb="FFD7DEE8"/>
      </x:bottom>
    </x:border>
    <x:border>
      <x:left style="thin">
        <x:color rgb="FFD7DEE8"/>
      </x:left>
      <x:bottom style="thin">
        <x:color rgb="FFE5EAF0"/>
      </x:bottom>
    </x:border>
    <x:border>
      <x:right style="thin">
        <x:color rgb="FFD7DEE8"/>
      </x:right>
      <x:bottom style="thin">
        <x:color rgb="FFE5EAF0"/>
      </x:bottom>
    </x:border>
    <x:border>
      <x:left style="thin">
        <x:color rgb="FFD7DEE8"/>
      </x:left>
      <x:top style="thin">
        <x:color rgb="FFE5EAF0"/>
      </x:top>
      <x:bottom style="thin">
        <x:color rgb="FFE5EAF0"/>
      </x:bottom>
    </x:border>
    <x:border>
      <x:right style="thin">
        <x:color rgb="FFD7DEE8"/>
      </x:right>
      <x:top style="thin">
        <x:color rgb="FFE5EAF0"/>
      </x:top>
      <x:bottom style="thin">
        <x:color rgb="FFE5EAF0"/>
      </x:bottom>
    </x:border>
    <x:border>
      <x:left style="thin">
        <x:color rgb="FFD7DEE8"/>
      </x:left>
      <x:top style="thin">
        <x:color rgb="FFE5EAF0"/>
      </x:top>
      <x:bottom style="thin">
        <x:color rgb="FFD7DEE8"/>
      </x:bottom>
    </x:border>
    <x:border>
      <x:top style="thin">
        <x:color rgb="FFE5EAF0"/>
      </x:top>
      <x:bottom style="thin">
        <x:color rgb="FFD7DEE8"/>
      </x:bottom>
    </x:border>
    <x:border>
      <x:right style="thin">
        <x:color rgb="FFD7DEE8"/>
      </x:right>
      <x:top style="thin">
        <x:color rgb="FFE5EAF0"/>
      </x:top>
      <x:bottom style="thin">
        <x:color rgb="FFD7DEE8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0" fontId="4" fillId="0" borderId="5" xfId="0" applyNumberFormat="1" applyFont="1" applyFill="1" applyBorder="1"/>
    <x:xf numFmtId="200" fontId="4" fillId="0" borderId="5" xfId="0" applyNumberFormat="1" applyFont="1" applyFill="1" applyBorder="1"/>
    <x:xf numFmtId="201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wrapText="1"/>
    </x:xf>
    <x:xf numFmtId="201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/>
    </x:xf>
    <x:xf numFmtId="0" fontId="5" fillId="4" borderId="12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5" fillId="4" borderId="10" xfId="0" applyNumberFormat="1" applyFont="1" applyFill="1" applyBorder="1" applyAlignment="1">
      <x:alignment horizontal="center" vertical="center"/>
    </x:xf>
    <x:xf numFmtId="0" fontId="5" fillId="4" borderId="11" xfId="0" applyNumberFormat="1" applyFont="1" applyFill="1" applyBorder="1" applyAlignment="1">
      <x:alignment horizontal="center" vertical="center"/>
    </x:xf>
    <x:xf numFmtId="0" fontId="5" fillId="4" borderId="12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7" fillId="4" borderId="8" xfId="0" applyNumberFormat="1" applyFont="1" applyFill="1" applyBorder="1" applyAlignment="1">
      <x:alignment horizontal="center" vertical="center"/>
    </x:xf>
    <x:xf numFmtId="0" fontId="8" fillId="4" borderId="8" xfId="0" applyNumberFormat="1" applyFont="1" applyFill="1" applyBorder="1" applyAlignment="1">
      <x:alignment horizontal="center" vertical="center"/>
    </x:xf>
    <x:xf numFmtId="0" fontId="9" fillId="4" borderId="8" xfId="0" applyNumberFormat="1" applyFont="1" applyFill="1" applyBorder="1" applyAlignment="1">
      <x:alignment horizontal="center" vertical="center"/>
    </x:xf>
    <x:xf numFmtId="201" fontId="9" fillId="4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0" xfId="0" applyNumberFormat="1" applyFont="1" applyFill="1" applyBorder="1"/>
    <x:xf numFmtId="201" fontId="0" fillId="0" borderId="10" xfId="0" applyNumberFormat="1" applyFont="1" applyFill="1" applyBorder="1"/>
    <x:xf numFmtId="0" fontId="0" fillId="0" borderId="13" xfId="0" applyNumberFormat="1" applyFont="1" applyFill="1" applyBorder="1"/>
    <x:xf numFmtId="201" fontId="0" fillId="0" borderId="12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0" borderId="4" xfId="0" applyNumberFormat="1" applyFont="1" applyFill="1" applyBorder="1"/>
    <x:xf numFmtId="200" fontId="10" fillId="0" borderId="4" xfId="0" applyNumberFormat="1" applyFont="1" applyFill="1" applyBorder="1"/>
    <x:xf numFmtId="0" fontId="10" fillId="0" borderId="5" xfId="0" applyNumberFormat="1" applyFont="1" applyFill="1" applyBorder="1"/>
    <x:xf numFmtId="200" fontId="10" fillId="0" borderId="5" xfId="0" applyNumberFormat="1" applyFont="1" applyFill="1" applyBorder="1"/>
    <x:xf numFmtId="0" fontId="10" fillId="0" borderId="6" xfId="0" applyNumberFormat="1" applyFont="1" applyFill="1" applyBorder="1"/>
    <x:xf numFmtId="200" fontId="10" fillId="0" borderId="6" xfId="0" applyNumberFormat="1" applyFont="1" applyFill="1" applyBorder="1"/>
    <x:xf numFmtId="0" fontId="10" fillId="0" borderId="4" xfId="0" applyNumberFormat="1" applyFont="1" applyFill="1" applyBorder="1" applyAlignment="1">
      <x:alignment wrapText="1"/>
    </x:xf>
    <x:xf numFmtId="20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20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200" fontId="10" fillId="0" borderId="6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vertical="top" wrapText="1"/>
    </x:xf>
    <x:xf numFmtId="20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20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200" fontId="10" fillId="0" borderId="6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16" xfId="0" applyNumberFormat="1" applyFont="1" applyFill="1" applyBorder="1" applyAlignment="1">
      <x:alignment vertical="top" wrapText="1"/>
    </x:xf>
    <x:xf numFmtId="0" fontId="10" fillId="0" borderId="17" xfId="0" applyNumberFormat="1" applyFont="1" applyFill="1" applyBorder="1" applyAlignment="1">
      <x:alignment vertical="top" wrapText="1"/>
    </x:xf>
    <x:xf numFmtId="0" fontId="10" fillId="0" borderId="18" xfId="0" applyNumberFormat="1" applyFont="1" applyFill="1" applyBorder="1" applyAlignment="1">
      <x:alignment vertical="top" wrapText="1"/>
    </x:xf>
    <x:xf numFmtId="0" fontId="10" fillId="0" borderId="19" xfId="0" applyNumberFormat="1" applyFont="1" applyFill="1" applyBorder="1" applyAlignment="1">
      <x:alignment vertical="top" wrapText="1"/>
    </x:xf>
    <x:xf numFmtId="200" fontId="10" fillId="0" borderId="19" xfId="0" applyNumberFormat="1" applyFont="1" applyFill="1" applyBorder="1" applyAlignment="1">
      <x:alignment vertical="top" wrapText="1"/>
    </x:xf>
    <x:xf numFmtId="0" fontId="10" fillId="0" borderId="2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202" fontId="10" fillId="0" borderId="4" xfId="0" applyNumberFormat="1" applyFont="1" applyFill="1" applyBorder="1" applyAlignment="1">
      <x:alignment vertical="top" wrapText="1"/>
    </x:xf>
    <x:xf numFmtId="202" fontId="1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cfa8270544561" /><Relationship Type="http://schemas.openxmlformats.org/officeDocument/2006/relationships/theme" Target="/xl/theme/theme1.xml" Id="R95138aecbc504b5c" /><Relationship Type="http://schemas.openxmlformats.org/officeDocument/2006/relationships/sharedStrings" Target="/xl/sharedStrings.xml" Id="R2c9aba6387d94613" /><Relationship Type="http://schemas.openxmlformats.org/officeDocument/2006/relationships/worksheet" Target="/xl/worksheets/sheet1.xml" Id="R31d2290bf619456f" /><Relationship Type="http://schemas.openxmlformats.org/officeDocument/2006/relationships/worksheet" Target="/xl/worksheets/sheet2.xml" Id="R1215221ee1e9439a" /><Relationship Type="http://schemas.openxmlformats.org/officeDocument/2006/relationships/worksheet" Target="/xl/worksheets/sheet3.xml" Id="R8627fe2efc774191" /><Relationship Type="http://schemas.openxmlformats.org/officeDocument/2006/relationships/worksheet" Target="/xl/worksheets/sheet4.xml" Id="Rac953f9b4bd14b18" /><Relationship Type="http://schemas.openxmlformats.org/officeDocument/2006/relationships/worksheet" Target="/xl/worksheets/sheet5.xml" Id="Ra8d77b430ef84d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67d1044c154c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当前任务状态分布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任务数</c:v>
          </c:tx>
          <c:cat>
            <c:strRef>
              <c:f>'项目总览'!$A$10:$A$15</c:f>
              <c:strCache>
                <c:ptCount val="0"/>
              </c:strCache>
            </c:strRef>
          </c:cat>
          <c:val>
            <c:numRef>
              <c:f>'项目总览'!$B$10:$B$15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67d1044c154c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sks" displayName="ProjectTasks" ref="A5:O114" headerRowCount="1" totalsRowCount="0" totalsRowShown="0">
  <x:autoFilter ref="A5:O114"/>
  <x:tableColumns count="15">
    <x:tableColumn id="1" name="ID"/>
    <x:tableColumn id="2" name="一级模块"/>
    <x:tableColumn id="3" name="二级模块"/>
    <x:tableColumn id="4" name="工作项"/>
    <x:tableColumn id="5" name="状态"/>
    <x:tableColumn id="6" name="优先级"/>
    <x:tableColumn id="7" name="负责人"/>
    <x:tableColumn id="8" name="目标日期"/>
    <x:tableColumn id="9" name="前置依赖"/>
    <x:tableColumn id="10" name="验收标准"/>
    <x:tableColumn id="11" name="当前说明 / 证据"/>
    <x:tableColumn id="12" name="下一步行动"/>
    <x:tableColumn id="13" name="最后更新"/>
    <x:tableColumn id="14" name="完成度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Progress" displayName="DailyProgress" ref="A5:I45" headerRowCount="1" totalsRowCount="0" totalsRowShown="0">
  <x:tableColumns count="9">
    <x:tableColumn id="1" name="日期"/>
    <x:tableColumn id="2" name="任务ID"/>
    <x:tableColumn id="3" name="工作项"/>
    <x:tableColumn id="4" name="今日完成 / 进展"/>
    <x:tableColumn id="5" name="问题 / 阻塞"/>
    <x:tableColumn id="6" name="明日动作"/>
    <x:tableColumn id="7" name="状态"/>
    <x:tableColumn id="8" name="负责人"/>
    <x:tableColumn id="9" name="投入小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" displayName="Milestones" ref="A5:H13" headerRowCount="1" totalsRowCount="0" totalsRowShown="0">
  <x:tableColumns count="8">
    <x:tableColumn id="1" name="ID"/>
    <x:tableColumn id="2" name="里程碑"/>
    <x:tableColumn id="3" name="目标日期"/>
    <x:tableColumn id="4" name="交付目标"/>
    <x:tableColumn id="5" name="状态"/>
    <x:tableColumn id="6" name="负责人"/>
    <x:tableColumn id="7" name="验收标准"/>
    <x:tableColumn id="8" name="关键依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0c15677be944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986f7f3573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a4ea41096343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9391abb26b46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12" hidden="0" customWidth="1"/>
    <x:col min="5" max="5" width="30" hidden="0" customWidth="1"/>
    <x:col min="6" max="6" width="22" hidden="0" customWidth="1"/>
    <x:col min="7" max="7" width="18" hidden="0" customWidth="1"/>
    <x:col min="8" max="8" width="14" hidden="0" customWidth="1"/>
    <x:col min="9" max="9" width="3" hidden="0" customWidth="1"/>
    <x:col min="10" max="10" width="16" hidden="0" customWidth="1"/>
    <x:col min="11" max="11" width="16" hidden="0" customWidth="1"/>
    <x:col min="12" max="12" width="3" hidden="0" customWidth="1"/>
    <x:col min="13" max="13" width="3" hidden="0" customWidth="1"/>
    <x:col min="14" max="14" width="3" hidden="0" customWidth="1"/>
  </x:cols>
  <x:sheetData>
    <x:row r="1" ht="32" customHeight="1">
      <x:c r="A1" s="4" t="str">
        <x:v>麻将出海项目 · 每日推进驾驶舱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tr">
        <x:v>数据基线：main分支代码 +《开发计划与里程碑》；更新日期 2026-07-31。</x:v>
      </x:c>
    </x:row>
    <x:row r="4" ht="28" customHeight="1">
      <x:c r="A4" s="66" t="str">
        <x:v>总任务</x:v>
      </x:c>
      <x:c r="B4" s="72" t="n">
        <x:f>COUNTA('工作清单'!$A$6:$A$114)</x:f>
        <x:v>109</x:v>
      </x:c>
      <x:c r="D4" s="66" t="str">
        <x:v>已完成</x:v>
      </x:c>
      <x:c r="E4" s="73" t="n">
        <x:v>42</x:v>
      </x:c>
      <x:c r="G4" s="66" t="str">
        <x:v>P0未完成</x:v>
      </x:c>
      <x:c r="H4" s="74" t="n">
        <x:v>37</x:v>
      </x:c>
      <x:c r="J4" s="66" t="str">
        <x:v>总体完成度</x:v>
      </x:c>
      <x:c r="K4" s="76" t="n">
        <x:v>0.4353211009174312</x:v>
      </x:c>
    </x:row>
    <x:row r="5" ht="28" customHeight="1">
      <x:c r="A5" s="68"/>
      <x:c r="B5" s="69"/>
      <x:c r="D5" s="68"/>
      <x:c r="E5" s="69"/>
      <x:c r="G5" s="68"/>
      <x:c r="H5" s="69"/>
      <x:c r="J5" s="68"/>
      <x:c r="K5" s="69"/>
    </x:row>
    <x:row r="6" ht="28" customHeight="1">
      <x:c r="A6" s="70"/>
      <x:c r="B6" s="71"/>
      <x:c r="D6" s="70"/>
      <x:c r="E6" s="71"/>
      <x:c r="G6" s="70"/>
      <x:c r="H6" s="71"/>
      <x:c r="J6" s="70"/>
      <x:c r="K6" s="71"/>
    </x:row>
    <x:row r="9">
      <x:c r="A9" s="17" t="str">
        <x:v>状态</x:v>
      </x:c>
      <x:c r="B9" s="19" t="str">
        <x:v>任务数</x:v>
      </x:c>
      <x:c r="D9" s="17" t="str">
        <x:v>模块</x:v>
      </x:c>
      <x:c r="E9" s="18" t="str">
        <x:v>任务数</x:v>
      </x:c>
      <x:c r="F9" s="19" t="str">
        <x:v>完成率</x:v>
      </x:c>
    </x:row>
    <x:row r="10">
      <x:c r="A10" s="77" t="str">
        <x:v>已完成</x:v>
      </x:c>
      <x:c r="B10" s="78" t="n">
        <x:v>42</x:v>
      </x:c>
      <x:c r="D10" s="77" t="str">
        <x:v>前端产品</x:v>
      </x:c>
      <x:c r="E10" s="81" t="n">
        <x:f>COUNTIF('工作清单'!$B$6:$B$114,D10)</x:f>
        <x:v>15</x:v>
      </x:c>
      <x:c r="F10" s="82" t="n">
        <x:f>IFERROR(COUNTIFS('工作清单'!$B$6:$B$114,D10,'工作清单'!$E$6:$E$114,"已完成")/E10,0)</x:f>
        <x:v>0.6</x:v>
      </x:c>
    </x:row>
    <x:row r="11">
      <x:c r="A11" s="77" t="str">
        <x:v>进行中</x:v>
      </x:c>
      <x:c r="B11" s="78" t="n">
        <x:v>4</x:v>
      </x:c>
      <x:c r="D11" s="77" t="str">
        <x:v>运营后台</x:v>
      </x:c>
      <x:c r="E11" s="81" t="n">
        <x:f>COUNTIF('工作清单'!$B$6:$B$114,D11)</x:f>
        <x:v>17</x:v>
      </x:c>
      <x:c r="F11" s="82" t="n">
        <x:f>IFERROR(COUNTIFS('工作清单'!$B$6:$B$114,D11,'工作清单'!$E$6:$E$114,"已完成")/E11,0)</x:f>
        <x:v>0.5294117647058824</x:v>
      </x:c>
    </x:row>
    <x:row r="12">
      <x:c r="A12" s="77" t="str">
        <x:v>待开始</x:v>
      </x:c>
      <x:c r="B12" s="78" t="n">
        <x:v>46</x:v>
      </x:c>
      <x:c r="D12" s="77" t="str">
        <x:v>API与后端</x:v>
      </x:c>
      <x:c r="E12" s="81" t="n">
        <x:f>COUNTIF('工作清单'!$B$6:$B$114,D12)</x:f>
        <x:v>16</x:v>
      </x:c>
      <x:c r="F12" s="82" t="n">
        <x:f>IFERROR(COUNTIFS('工作清单'!$B$6:$B$114,D12,'工作清单'!$E$6:$E$114,"已完成")/E12,0)</x:f>
        <x:v>0.6875</x:v>
      </x:c>
    </x:row>
    <x:row r="13">
      <x:c r="A13" s="77" t="str">
        <x:v>阻塞</x:v>
      </x:c>
      <x:c r="B13" s="78" t="n">
        <x:v>11</x:v>
      </x:c>
      <x:c r="D13" s="77" t="str">
        <x:v>数据库</x:v>
      </x:c>
      <x:c r="E13" s="81" t="n">
        <x:f>COUNTIF('工作清单'!$B$6:$B$114,D13)</x:f>
        <x:v>8</x:v>
      </x:c>
      <x:c r="F13" s="82" t="n">
        <x:v>0.25</x:v>
      </x:c>
    </x:row>
    <x:row r="14">
      <x:c r="A14" s="77" t="str">
        <x:v>待外部</x:v>
      </x:c>
      <x:c r="B14" s="78" t="n">
        <x:v>5</x:v>
      </x:c>
      <x:c r="D14" s="77" t="str">
        <x:v>登录与积分</x:v>
      </x:c>
      <x:c r="E14" s="81" t="n">
        <x:f>COUNTIF('工作清单'!$B$6:$B$114,D14)</x:f>
        <x:v>10</x:v>
      </x:c>
      <x:c r="F14" s="82" t="n">
        <x:v>0.3</x:v>
      </x:c>
    </x:row>
    <x:row r="15">
      <x:c r="A15" s="79" t="str">
        <x:v>待验收</x:v>
      </x:c>
      <x:c r="B15" s="80" t="n">
        <x:v>1</x:v>
      </x:c>
      <x:c r="D15" s="77" t="str">
        <x:v>SEO与国际化</x:v>
      </x:c>
      <x:c r="E15" s="81" t="n">
        <x:f>COUNTIF('工作清单'!$B$6:$B$114,D15)</x:f>
        <x:v>12</x:v>
      </x:c>
      <x:c r="F15" s="82" t="n">
        <x:f>IFERROR(COUNTIFS('工作清单'!$B$6:$B$114,D15,'工作清单'!$E$6:$E$114,"已完成")/E15,0)</x:f>
        <x:v>0.3333333333333333</x:v>
      </x:c>
    </x:row>
    <x:row r="16">
      <x:c r="D16" s="77" t="str">
        <x:v>部署与运维</x:v>
      </x:c>
      <x:c r="E16" s="81" t="n">
        <x:f>COUNTIF('工作清单'!$B$6:$B$114,D16)</x:f>
        <x:v>8</x:v>
      </x:c>
      <x:c r="F16" s="82" t="n">
        <x:f>IFERROR(COUNTIFS('工作清单'!$B$6:$B$114,D16,'工作清单'!$E$6:$E$114,"已完成")/E16,0)</x:f>
        <x:v>0.25</x:v>
      </x:c>
    </x:row>
    <x:row r="17">
      <x:c r="D17" s="77" t="str">
        <x:v>商业化</x:v>
      </x:c>
      <x:c r="E17" s="81" t="n">
        <x:f>COUNTIF('工作清单'!$B$6:$B$114,D17)</x:f>
        <x:v>8</x:v>
      </x:c>
      <x:c r="F17" s="82" t="n">
        <x:f>IFERROR(COUNTIFS('工作清单'!$B$6:$B$114,D17,'工作清单'!$E$6:$E$114,"已完成")/E17,0)</x:f>
        <x:v>0</x:v>
      </x:c>
    </x:row>
    <x:row r="18">
      <x:c r="D18" s="77" t="str">
        <x:v>自研玩法</x:v>
      </x:c>
      <x:c r="E18" s="81" t="n">
        <x:f>COUNTIF('工作清单'!$B$6:$B$114,D18)</x:f>
        <x:v>5</x:v>
      </x:c>
      <x:c r="F18" s="82" t="n">
        <x:f>IFERROR(COUNTIFS('工作清单'!$B$6:$B$114,D18,'工作清单'!$E$6:$E$114,"已完成")/E18,0)</x:f>
        <x:v>0</x:v>
      </x:c>
    </x:row>
    <x:row r="19">
      <x:c r="D19" s="79" t="str">
        <x:v>测试与发布</x:v>
      </x:c>
      <x:c r="E19" s="83" t="n">
        <x:f>COUNTIF('工作清单'!$B$6:$B$114,D19)</x:f>
        <x:v>10</x:v>
      </x:c>
      <x:c r="F19" s="84" t="n">
        <x:f>IFERROR(COUNTIFS('工作清单'!$B$6:$B$114,D19,'工作清单'!$E$6:$E$114,"已完成")/E19,0)</x:f>
        <x:v>0.2</x:v>
      </x:c>
    </x:row>
    <x:row r="27">
      <x:c r="A27" s="17" t="str">
        <x:v>本周关键路径</x:v>
      </x:c>
      <x:c r="B27" s="18" t="str">
        <x:v>负责人</x:v>
      </x:c>
      <x:c r="C27" s="18" t="str">
        <x:v>目标日期</x:v>
      </x:c>
      <x:c r="D27" s="18" t="str">
        <x:v>当前状态</x:v>
      </x:c>
      <x:c r="E27" s="18" t="str">
        <x:v>下一步</x:v>
      </x:c>
      <x:c r="F27" s="19" t="str">
        <x:v>依赖</x:v>
      </x:c>
    </x:row>
    <x:row r="28" ht="36" customHeight="1">
      <x:c r="A28" s="105" t="str">
        <x:v>主域名DNS/HTTPS验收</x:v>
      </x:c>
      <x:c r="B28" s="99" t="str">
        <x:v>开发+你</x:v>
      </x:c>
      <x:c r="C28" s="100" t="n">
        <x:v>46235</x:v>
      </x:c>
      <x:c r="D28" s="99" t="str">
        <x:v>待验收</x:v>
      </x:c>
      <x:c r="E28" s="99" t="str">
        <x:v>完成curl和多语言访问记录</x:v>
      </x:c>
      <x:c r="F28" s="106" t="str">
        <x:v>域名迁移已完成</x:v>
      </x:c>
    </x:row>
    <x:row r="29" ht="36" customHeight="1">
      <x:c r="A29" s="107" t="str">
        <x:v>创建Neon与配置DATABASE_URL</x:v>
      </x:c>
      <x:c r="B29" s="101" t="str">
        <x:v>你</x:v>
      </x:c>
      <x:c r="C29" s="102" t="n">
        <x:v>46236</x:v>
      </x:c>
      <x:c r="D29" s="101" t="str">
        <x:v>进行中</x:v>
      </x:c>
      <x:c r="E29" s="101" t="str">
        <x:v>本地Neon与DATABASE_URL已验证；补Preview/Production变量</x:v>
      </x:c>
      <x:c r="F29" s="108" t="str">
        <x:v>Neon项目已创建</x:v>
      </x:c>
    </x:row>
    <x:row r="30" ht="36" customHeight="1">
      <x:c r="A30" s="107" t="str">
        <x:v>创建Prisma migration与seed</x:v>
      </x:c>
      <x:c r="B30" s="101" t="str">
        <x:v>开发</x:v>
      </x:c>
      <x:c r="C30" s="102" t="n">
        <x:v>46239</x:v>
      </x:c>
      <x:c r="D30" s="101" t="str">
        <x:v>待开始</x:v>
      </x:c>
      <x:c r="E30" s="101" t="str">
        <x:v>生成SQL并导入10个游戏</x:v>
      </x:c>
      <x:c r="F30" s="108" t="str">
        <x:v>DATABASE_URL</x:v>
      </x:c>
    </x:row>
    <x:row r="31" ht="36" customHeight="1">
      <x:c r="A31" s="107" t="str">
        <x:v>申请并配置OAuth凭证</x:v>
      </x:c>
      <x:c r="B31" s="101" t="str">
        <x:v>你</x:v>
      </x:c>
      <x:c r="C31" s="102" t="n">
        <x:v>46238</x:v>
      </x:c>
      <x:c r="D31" s="101" t="str">
        <x:v>进行中</x:v>
      </x:c>
      <x:c r="E31" s="101" t="str">
        <x:v>恢复Meta开发者账号并复核应用；补生产环境变量与回调验收</x:v>
      </x:c>
      <x:c r="F31" s="108" t="str">
        <x:v>Google/FB/X本地真实登录已通过</x:v>
      </x:c>
    </x:row>
    <x:row r="32" ht="36" customHeight="1">
      <x:c r="A32" s="107" t="str">
        <x:v>修复后台i18n与设置保存</x:v>
      </x:c>
      <x:c r="B32" s="101" t="str">
        <x:v>开发</x:v>
      </x:c>
      <x:c r="C32" s="102" t="n">
        <x:v>46237</x:v>
      </x:c>
      <x:c r="D32" s="101" t="str">
        <x:v>待开始</x:v>
      </x:c>
      <x:c r="E32" s="101" t="str">
        <x:v>补请求参数、错误检查和测试</x:v>
      </x:c>
      <x:c r="F32" s="108" t="str">
        <x:v>无</x:v>
      </x:c>
    </x:row>
    <x:row r="33" ht="36" customHeight="1">
      <x:c r="A33" s="109" t="str">
        <x:v>同步自研玩法与联调协议</x:v>
      </x:c>
      <x:c r="B33" s="110" t="str">
        <x:v>产品同学</x:v>
      </x:c>
      <x:c r="C33" s="111" t="n">
        <x:v>46237</x:v>
      </x:c>
      <x:c r="D33" s="110" t="str">
        <x:v>待外部</x:v>
      </x:c>
      <x:c r="E33" s="110" t="str">
        <x:v>提供代码、进度和事件协议</x:v>
      </x:c>
      <x:c r="F33" s="112" t="str">
        <x:v>产品输入</x:v>
      </x:c>
    </x:row>
  </x:sheetData>
  <x:mergeCells>
    <x:mergeCell ref="A1:N1"/>
  </x:mergeCells>
  <x:conditionalFormatting sqref="A10:A15">
    <x:cfRule type="containsText" dxfId="8" priority="1" operator="containsText" text="已完成"/>
    <x:cfRule type="containsText" dxfId="9" priority="2" operator="containsText" text="进行中"/>
    <x:cfRule type="containsText" dxfId="10" priority="3" operator="containsText" text="待开始"/>
    <x:cfRule type="containsText" dxfId="11" priority="4" operator="containsText" text="阻塞"/>
    <x:cfRule type="containsText" dxfId="12" priority="5" operator="containsText" text="待外部"/>
    <x:cfRule type="containsText" dxfId="13" priority="6" operator="containsText" text="待验收"/>
  </x:conditionalFormatting>
  <x:conditionalFormatting sqref="F10:F19">
    <x:cfRule type="dataBar" priority="7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{57B60F2D-A934-E610-2EC7-8207749752DA}</x14:id>
        </x:ext>
      </x:extLst>
    </x:cfRule>
  </x:conditionalFormatting>
  <x:conditionalFormatting sqref="D28:D33">
    <x:cfRule type="containsText" dxfId="14" priority="8" operator="containsText" text="已完成"/>
    <x:cfRule type="containsText" dxfId="15" priority="9" operator="containsText" text="进行中"/>
    <x:cfRule type="containsText" dxfId="16" priority="10" operator="containsText" text="待开始"/>
    <x:cfRule type="containsText" dxfId="17" priority="11" operator="containsText" text="阻塞"/>
    <x:cfRule type="containsText" dxfId="18" priority="12" operator="containsText" text="待外部"/>
    <x:cfRule type="containsText" dxfId="19" priority="13" operator="containsText" text="待验收"/>
  </x:conditionalFormatting>
  <x:pageMargins left="0.7" right="0.7" top="0.75" bottom="0.75" header="0.3" footer="0.3"/>
  <x:drawing xmlns:r="http://schemas.openxmlformats.org/officeDocument/2006/relationships" r:id="Rf00c15677be9443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57B60F2D-A934-E610-2EC7-8207749752DA}">
            <x14:dataBar gradient="1">
              <x14:cfvo type="min"/>
              <x14:cfvo type="max"/>
              <x14:fillColor rgb="FF22C55E"/>
            </x14:dataBar>
          </x14:cfRule>
          <xm:sqref>F10:F19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0" hidden="0" customWidth="1"/>
    <x:col min="5" max="5" width="11" hidden="0" customWidth="1"/>
    <x:col min="6" max="6" width="9" hidden="0" customWidth="1"/>
    <x:col min="7" max="7" width="13" hidden="0" customWidth="1"/>
    <x:col min="8" max="8" width="13" hidden="0" customWidth="1"/>
    <x:col min="9" max="9" width="22" hidden="0" customWidth="1"/>
    <x:col min="10" max="10" width="34" hidden="0" customWidth="1"/>
    <x:col min="11" max="11" width="36" hidden="0" customWidth="1"/>
    <x:col min="12" max="12" width="30" hidden="0" customWidth="1"/>
    <x:col min="13" max="13" width="13" hidden="0" customWidth="1"/>
    <x:col min="14" max="14" width="11" hidden="0" customWidth="1"/>
    <x:col min="15" max="15" width="20" hidden="0" customWidth="1"/>
  </x:cols>
  <x:sheetData>
    <x:row r="1" ht="32" customHeight="1">
      <x:c r="A1" s="4" t="str">
        <x:v>麻将出海项目 · 完整工作清单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5" t="str">
        <x:v>状态、优先级、负责人、依赖和验收标准均可每日更新；筛选P0可查看关键路径。</x:v>
      </x:c>
    </x:row>
    <x:row r="5" ht="30" customHeight="1">
      <x:c r="A5" s="17" t="str">
        <x:v>ID</x:v>
      </x:c>
      <x:c r="B5" s="18" t="str">
        <x:v>一级模块</x:v>
      </x:c>
      <x:c r="C5" s="18" t="str">
        <x:v>二级模块</x:v>
      </x:c>
      <x:c r="D5" s="18" t="str">
        <x:v>工作项</x:v>
      </x:c>
      <x:c r="E5" s="18" t="str">
        <x:v>状态</x:v>
      </x:c>
      <x:c r="F5" s="18" t="str">
        <x:v>优先级</x:v>
      </x:c>
      <x:c r="G5" s="18" t="str">
        <x:v>负责人</x:v>
      </x:c>
      <x:c r="H5" s="18" t="str">
        <x:v>目标日期</x:v>
      </x:c>
      <x:c r="I5" s="18" t="str">
        <x:v>前置依赖</x:v>
      </x:c>
      <x:c r="J5" s="18" t="str">
        <x:v>验收标准</x:v>
      </x:c>
      <x:c r="K5" s="18" t="str">
        <x:v>当前说明 / 证据</x:v>
      </x:c>
      <x:c r="L5" s="18" t="str">
        <x:v>下一步行动</x:v>
      </x:c>
      <x:c r="M5" s="18" t="str">
        <x:v>最后更新</x:v>
      </x:c>
      <x:c r="N5" s="18" t="str">
        <x:v>完成度</x:v>
      </x:c>
      <x:c r="O5" s="19" t="str">
        <x:v>备注</x:v>
      </x:c>
    </x:row>
    <x:row r="6" ht="44" customHeight="1">
      <x:c r="A6" s="43" t="str">
        <x:v>FE-001</x:v>
      </x:c>
      <x:c r="B6" s="43" t="str">
        <x:v>前端产品</x:v>
      </x:c>
      <x:c r="C6" s="43" t="str">
        <x:v>项目基础</x:v>
      </x:c>
      <x:c r="D6" s="43" t="str">
        <x:v>Next.js 15 + React 19 + TypeScript 脚手架</x:v>
      </x:c>
      <x:c r="E6" s="43" t="str">
        <x:v>已完成</x:v>
      </x:c>
      <x:c r="F6" s="43" t="str">
        <x:v>P0</x:v>
      </x:c>
      <x:c r="G6" s="43" t="str">
        <x:v>开发</x:v>
      </x:c>
      <x:c r="H6" s="44" t="n">
        <x:v>46225</x:v>
      </x:c>
      <x:c r="I6" s="43" t="str">
        <x:v>无</x:v>
      </x:c>
      <x:c r="J6" s="43" t="str">
        <x:v>生产构建通过，App Router可运行</x:v>
      </x:c>
      <x:c r="K6" s="43" t="str">
        <x:v>package.json、tsconfig.json</x:v>
      </x:c>
      <x:c r="L6" s="43" t="str">
        <x:v>保持依赖安全更新</x:v>
      </x:c>
      <x:c r="M6" s="44" t="n">
        <x:v>46233</x:v>
      </x:c>
      <x:c r="N6" s="45" t="n">
        <x:f>IF(E6="已完成",1,IF(E6="待验收",0.85,IF(E6="进行中",0.5,IF(E6="待外部",0.15,IF(E6="阻塞",0.1,0)))))</x:f>
        <x:v>1</x:v>
      </x:c>
      <x:c r="O6" s="43" t="str"/>
    </x:row>
    <x:row r="7" ht="44" customHeight="1">
      <x:c r="A7" s="46" t="str">
        <x:v>FE-002</x:v>
      </x:c>
      <x:c r="B7" s="46" t="str">
        <x:v>前端产品</x:v>
      </x:c>
      <x:c r="C7" s="46" t="str">
        <x:v>视觉系统</x:v>
      </x:c>
      <x:c r="D7" s="46" t="str">
        <x:v>彩虹主题与Tailwind基础样式</x:v>
      </x:c>
      <x:c r="E7" s="46" t="str">
        <x:v>已完成</x:v>
      </x:c>
      <x:c r="F7" s="46" t="str">
        <x:v>P1</x:v>
      </x:c>
      <x:c r="G7" s="46" t="str">
        <x:v>开发</x:v>
      </x:c>
      <x:c r="H7" s="47" t="n">
        <x:v>46225</x:v>
      </x:c>
      <x:c r="I7" s="46" t="str">
        <x:v>FE-001</x:v>
      </x:c>
      <x:c r="J7" s="46" t="str">
        <x:v>公开页面视觉统一，移动端可用</x:v>
      </x:c>
      <x:c r="K7" s="46" t="str">
        <x:v>tailwind.config.ts、app/globals.css</x:v>
      </x:c>
      <x:c r="L7" s="46" t="str">
        <x:v>补充设计Token文档</x:v>
      </x:c>
      <x:c r="M7" s="47" t="n">
        <x:v>46233</x:v>
      </x:c>
      <x:c r="N7" s="48" t="n">
        <x:f>IF(E7="已完成",1,IF(E7="待验收",0.85,IF(E7="进行中",0.5,IF(E7="待外部",0.15,IF(E7="阻塞",0.1,0)))))</x:f>
        <x:v>1</x:v>
      </x:c>
      <x:c r="O7" s="46" t="str"/>
    </x:row>
    <x:row r="8" ht="44" customHeight="1">
      <x:c r="A8" s="46" t="str">
        <x:v>FE-003</x:v>
      </x:c>
      <x:c r="B8" s="46" t="str">
        <x:v>前端产品</x:v>
      </x:c>
      <x:c r="C8" s="46" t="str">
        <x:v>公共布局</x:v>
      </x:c>
      <x:c r="D8" s="46" t="str">
        <x:v>Header、Footer、语言切换</x:v>
      </x:c>
      <x:c r="E8" s="46" t="str">
        <x:v>已完成</x:v>
      </x:c>
      <x:c r="F8" s="46" t="str">
        <x:v>P0</x:v>
      </x:c>
      <x:c r="G8" s="46" t="str">
        <x:v>开发</x:v>
      </x:c>
      <x:c r="H8" s="47" t="n">
        <x:v>46226</x:v>
      </x:c>
      <x:c r="I8" s="46" t="str">
        <x:v>FE-001</x:v>
      </x:c>
      <x:c r="J8" s="46" t="str">
        <x:v>5种语言均可导航</x:v>
      </x:c>
      <x:c r="K8" s="46" t="str">
        <x:v>Header已接入Auth.js Session，支持登录态、用户菜单和退出</x:v>
      </x:c>
      <x:c r="L8" s="46" t="str">
        <x:v>上线前复核移动端与5语言文案</x:v>
      </x:c>
      <x:c r="M8" s="47" t="n">
        <x:v>46234</x:v>
      </x:c>
      <x:c r="N8" s="48" t="n">
        <x:v>1</x:v>
      </x:c>
      <x:c r="O8" s="46" t="str"/>
    </x:row>
    <x:row r="9" ht="44" customHeight="1">
      <x:c r="A9" s="46" t="str">
        <x:v>FE-004</x:v>
      </x:c>
      <x:c r="B9" s="46" t="str">
        <x:v>前端产品</x:v>
      </x:c>
      <x:c r="C9" s="46" t="str">
        <x:v>公开页面</x:v>
      </x:c>
      <x:c r="D9" s="46" t="str">
        <x:v>多语言首页</x:v>
      </x:c>
      <x:c r="E9" s="46" t="str">
        <x:v>已完成</x:v>
      </x:c>
      <x:c r="F9" s="46" t="str">
        <x:v>P0</x:v>
      </x:c>
      <x:c r="G9" s="46" t="str">
        <x:v>开发</x:v>
      </x:c>
      <x:c r="H9" s="47" t="n">
        <x:v>46226</x:v>
      </x:c>
      <x:c r="I9" s="46" t="str">
        <x:v>FE-003</x:v>
      </x:c>
      <x:c r="J9" s="46" t="str">
        <x:v>/en、/zh、/zh-TW、/ja、/ko首页可访问</x:v>
      </x:c>
      <x:c r="K9" s="46" t="str">
        <x:v>app/[locale]/page.tsx</x:v>
      </x:c>
      <x:c r="L9" s="46" t="str">
        <x:v>接入数据库站点配置</x:v>
      </x:c>
      <x:c r="M9" s="47" t="n">
        <x:v>46233</x:v>
      </x:c>
      <x:c r="N9" s="48" t="n">
        <x:f>IF(E9="已完成",1,IF(E9="待验收",0.85,IF(E9="进行中",0.5,IF(E9="待外部",0.15,IF(E9="阻塞",0.1,0)))))</x:f>
        <x:v>1</x:v>
      </x:c>
      <x:c r="O9" s="46" t="str"/>
    </x:row>
    <x:row r="10" ht="44" customHeight="1">
      <x:c r="A10" s="46" t="str">
        <x:v>FE-005</x:v>
      </x:c>
      <x:c r="B10" s="46" t="str">
        <x:v>前端产品</x:v>
      </x:c>
      <x:c r="C10" s="46" t="str">
        <x:v>公开页面</x:v>
      </x:c>
      <x:c r="D10" s="46" t="str">
        <x:v>游戏集合页</x:v>
      </x:c>
      <x:c r="E10" s="46" t="str">
        <x:v>已完成</x:v>
      </x:c>
      <x:c r="F10" s="46" t="str">
        <x:v>P0</x:v>
      </x:c>
      <x:c r="G10" s="46" t="str">
        <x:v>开发</x:v>
      </x:c>
      <x:c r="H10" s="47" t="n">
        <x:v>46226</x:v>
      </x:c>
      <x:c r="I10" s="46" t="str">
        <x:v>FE-004</x:v>
      </x:c>
      <x:c r="J10" s="46" t="str">
        <x:v>游戏列表可浏览并进入详情</x:v>
      </x:c>
      <x:c r="K10" s="46" t="str">
        <x:v>app/[locale]/(public)/games/page.tsx</x:v>
      </x:c>
      <x:c r="L10" s="46" t="str">
        <x:v>将数据源切换为数据库</x:v>
      </x:c>
      <x:c r="M10" s="47" t="n">
        <x:v>46233</x:v>
      </x:c>
      <x:c r="N10" s="48" t="n">
        <x:f>IF(E10="已完成",1,IF(E10="待验收",0.85,IF(E10="进行中",0.5,IF(E10="待外部",0.15,IF(E10="阻塞",0.1,0)))))</x:f>
        <x:v>1</x:v>
      </x:c>
      <x:c r="O10" s="46" t="str"/>
    </x:row>
    <x:row r="11" ht="44" customHeight="1">
      <x:c r="A11" s="46" t="str">
        <x:v>FE-006</x:v>
      </x:c>
      <x:c r="B11" s="46" t="str">
        <x:v>前端产品</x:v>
      </x:c>
      <x:c r="C11" s="46" t="str">
        <x:v>公开页面</x:v>
      </x:c>
      <x:c r="D11" s="46" t="str">
        <x:v>游戏详情页</x:v>
      </x:c>
      <x:c r="E11" s="46" t="str">
        <x:v>已完成</x:v>
      </x:c>
      <x:c r="F11" s="46" t="str">
        <x:v>P0</x:v>
      </x:c>
      <x:c r="G11" s="46" t="str">
        <x:v>开发</x:v>
      </x:c>
      <x:c r="H11" s="47" t="n">
        <x:v>46226</x:v>
      </x:c>
      <x:c r="I11" s="46" t="str">
        <x:v>FE-005</x:v>
      </x:c>
      <x:c r="J11" s="46" t="str">
        <x:v>每个静态游戏均生成详情页</x:v>
      </x:c>
      <x:c r="K11" s="46" t="str">
        <x:v>app/[locale]/(public)/games/[slug]/page.tsx</x:v>
      </x:c>
      <x:c r="L11" s="46" t="str">
        <x:v>接入数据库FAQ与Features</x:v>
      </x:c>
      <x:c r="M11" s="47" t="n">
        <x:v>46233</x:v>
      </x:c>
      <x:c r="N11" s="48" t="n">
        <x:f>IF(E11="已完成",1,IF(E11="待验收",0.85,IF(E11="进行中",0.5,IF(E11="待外部",0.15,IF(E11="阻塞",0.1,0)))))</x:f>
        <x:v>1</x:v>
      </x:c>
      <x:c r="O11" s="46" t="str"/>
    </x:row>
    <x:row r="12" ht="44" customHeight="1">
      <x:c r="A12" s="46" t="str">
        <x:v>FE-007</x:v>
      </x:c>
      <x:c r="B12" s="46" t="str">
        <x:v>前端产品</x:v>
      </x:c>
      <x:c r="C12" s="46" t="str">
        <x:v>游戏容器</x:v>
      </x:c>
      <x:c r="D12" s="46" t="str">
        <x:v>iframe点击加载、超时与推荐兜底</x:v>
      </x:c>
      <x:c r="E12" s="46" t="str">
        <x:v>已完成</x:v>
      </x:c>
      <x:c r="F12" s="46" t="str">
        <x:v>P0</x:v>
      </x:c>
      <x:c r="G12" s="46" t="str">
        <x:v>开发</x:v>
      </x:c>
      <x:c r="H12" s="47" t="n">
        <x:v>46227</x:v>
      </x:c>
      <x:c r="I12" s="46" t="str">
        <x:v>FE-006</x:v>
      </x:c>
      <x:c r="J12" s="46" t="str">
        <x:v>点击后加载，12秒失败显示替代游戏</x:v>
      </x:c>
      <x:c r="K12" s="46" t="str">
        <x:v>components/LazyIframe.tsx</x:v>
      </x:c>
      <x:c r="L12" s="46" t="str">
        <x:v>增加供应商健康监控</x:v>
      </x:c>
      <x:c r="M12" s="47" t="n">
        <x:v>46233</x:v>
      </x:c>
      <x:c r="N12" s="48" t="n">
        <x:f>IF(E12="已完成",1,IF(E12="待验收",0.85,IF(E12="进行中",0.5,IF(E12="待外部",0.15,IF(E12="阻塞",0.1,0)))))</x:f>
        <x:v>1</x:v>
      </x:c>
      <x:c r="O12" s="46" t="str"/>
    </x:row>
    <x:row r="13" ht="44" customHeight="1">
      <x:c r="A13" s="46" t="str">
        <x:v>FE-008</x:v>
      </x:c>
      <x:c r="B13" s="46" t="str">
        <x:v>前端产品</x:v>
      </x:c>
      <x:c r="C13" s="46" t="str">
        <x:v>游戏数据</x:v>
      </x:c>
      <x:c r="D13" s="46" t="str">
        <x:v>10个第三方游戏静态配置</x:v>
      </x:c>
      <x:c r="E13" s="46" t="str">
        <x:v>已完成</x:v>
      </x:c>
      <x:c r="F13" s="46" t="str">
        <x:v>P0</x:v>
      </x:c>
      <x:c r="G13" s="46" t="str">
        <x:v>开发</x:v>
      </x:c>
      <x:c r="H13" s="47" t="n">
        <x:v>46227</x:v>
      </x:c>
      <x:c r="I13" s="46" t="str">
        <x:v>FE-005</x:v>
      </x:c>
      <x:c r="J13" s="46" t="str">
        <x:v>10个游戏信息及iframe地址可用</x:v>
      </x:c>
      <x:c r="K13" s="46" t="str">
        <x:v>data/games.ts</x:v>
      </x:c>
      <x:c r="L13" s="46" t="str">
        <x:v>迁移至Game表并建立seed</x:v>
      </x:c>
      <x:c r="M13" s="47" t="n">
        <x:v>46233</x:v>
      </x:c>
      <x:c r="N13" s="48" t="n">
        <x:f>IF(E13="已完成",1,IF(E13="待验收",0.85,IF(E13="进行中",0.5,IF(E13="待外部",0.15,IF(E13="阻塞",0.1,0)))))</x:f>
        <x:v>1</x:v>
      </x:c>
      <x:c r="O13" s="46" t="str"/>
    </x:row>
    <x:row r="14" ht="44" customHeight="1">
      <x:c r="A14" s="46" t="str">
        <x:v>FE-009</x:v>
      </x:c>
      <x:c r="B14" s="46" t="str">
        <x:v>前端产品</x:v>
      </x:c>
      <x:c r="C14" s="46" t="str">
        <x:v>广告位</x:v>
      </x:c>
      <x:c r="D14" s="46" t="str">
        <x:v>游戏页广告占位组件</x:v>
      </x:c>
      <x:c r="E14" s="46" t="str">
        <x:v>已完成</x:v>
      </x:c>
      <x:c r="F14" s="46" t="str">
        <x:v>P2</x:v>
      </x:c>
      <x:c r="G14" s="46" t="str">
        <x:v>开发</x:v>
      </x:c>
      <x:c r="H14" s="47" t="n">
        <x:v>46227</x:v>
      </x:c>
      <x:c r="I14" s="46" t="str">
        <x:v>FE-006</x:v>
      </x:c>
      <x:c r="J14" s="46" t="str">
        <x:v>广告区域不会破坏页面布局</x:v>
      </x:c>
      <x:c r="K14" s="46" t="str">
        <x:v>components/AdSlot.tsx</x:v>
      </x:c>
      <x:c r="L14" s="46" t="str">
        <x:v>确定广告平台并接入正式广告</x:v>
      </x:c>
      <x:c r="M14" s="47" t="n">
        <x:v>46233</x:v>
      </x:c>
      <x:c r="N14" s="48" t="n">
        <x:f>IF(E14="已完成",1,IF(E14="待验收",0.85,IF(E14="进行中",0.5,IF(E14="待外部",0.15,IF(E14="阻塞",0.1,0)))))</x:f>
        <x:v>1</x:v>
      </x:c>
      <x:c r="O14" s="46" t="str"/>
    </x:row>
    <x:row r="15" ht="44" customHeight="1">
      <x:c r="A15" s="46" t="str">
        <x:v>FE-010</x:v>
      </x:c>
      <x:c r="B15" s="46" t="str">
        <x:v>前端产品</x:v>
      </x:c>
      <x:c r="C15" s="46" t="str">
        <x:v>数据源</x:v>
      </x:c>
      <x:c r="D15" s="46" t="str">
        <x:v>公开站改为读取数据库Game表</x:v>
      </x:c>
      <x:c r="E15" s="46" t="str">
        <x:v>待开始</x:v>
      </x:c>
      <x:c r="F15" s="46" t="str">
        <x:v>P0</x:v>
      </x:c>
      <x:c r="G15" s="46" t="str">
        <x:v>开发</x:v>
      </x:c>
      <x:c r="H15" s="47" t="n">
        <x:v>46241</x:v>
      </x:c>
      <x:c r="I15" s="46" t="str">
        <x:v>DB-004,DB-005</x:v>
      </x:c>
      <x:c r="J15" s="46" t="str">
        <x:v>后台新增/修改游戏可在公开站生效</x:v>
      </x:c>
      <x:c r="K15" s="46" t="str">
        <x:v>当前仍读取data/games.ts</x:v>
      </x:c>
      <x:c r="L15" s="46" t="str">
        <x:v>设计缓存、草稿与发布状态</x:v>
      </x:c>
      <x:c r="M15" s="47" t="n">
        <x:v>46234</x:v>
      </x:c>
      <x:c r="N15" s="48" t="n">
        <x:f>IF(E15="已完成",1,IF(E15="待验收",0.85,IF(E15="进行中",0.5,IF(E15="待外部",0.15,IF(E15="阻塞",0.1,0)))))</x:f>
        <x:v>0</x:v>
      </x:c>
      <x:c r="O15" s="46" t="str"/>
    </x:row>
    <x:row r="16" ht="44" customHeight="1">
      <x:c r="A16" s="46" t="str">
        <x:v>FE-011</x:v>
      </x:c>
      <x:c r="B16" s="46" t="str">
        <x:v>前端产品</x:v>
      </x:c>
      <x:c r="C16" s="46" t="str">
        <x:v>内容展示</x:v>
      </x:c>
      <x:c r="D16" s="46" t="str">
        <x:v>公开游戏页渲染FAQ与Features</x:v>
      </x:c>
      <x:c r="E16" s="46" t="str">
        <x:v>待开始</x:v>
      </x:c>
      <x:c r="F16" s="46" t="str">
        <x:v>P1</x:v>
      </x:c>
      <x:c r="G16" s="46" t="str">
        <x:v>开发</x:v>
      </x:c>
      <x:c r="H16" s="47" t="n">
        <x:v>46244</x:v>
      </x:c>
      <x:c r="I16" s="46" t="str">
        <x:v>FE-010,ADM-012,ADM-013</x:v>
      </x:c>
      <x:c r="J16" s="46" t="str">
        <x:v>按locale输出内容及结构化数据</x:v>
      </x:c>
      <x:c r="K16" s="46" t="str">
        <x:v>数据库内容尚未接入公开页</x:v>
      </x:c>
      <x:c r="L16" s="46" t="str">
        <x:v>实现服务端查询与fallback</x:v>
      </x:c>
      <x:c r="M16" s="47" t="n">
        <x:v>46234</x:v>
      </x:c>
      <x:c r="N16" s="48" t="n">
        <x:f>IF(E16="已完成",1,IF(E16="待验收",0.85,IF(E16="进行中",0.5,IF(E16="待外部",0.15,IF(E16="阻塞",0.1,0)))))</x:f>
        <x:v>0</x:v>
      </x:c>
      <x:c r="O16" s="46" t="str"/>
    </x:row>
    <x:row r="17" ht="44" customHeight="1">
      <x:c r="A17" s="46" t="str">
        <x:v>FE-012</x:v>
      </x:c>
      <x:c r="B17" s="46" t="str">
        <x:v>前端产品</x:v>
      </x:c>
      <x:c r="C17" s="46" t="str">
        <x:v>站点配置</x:v>
      </x:c>
      <x:c r="D17" s="46" t="str">
        <x:v>公开站读取SiteSetting</x:v>
      </x:c>
      <x:c r="E17" s="46" t="str">
        <x:v>待开始</x:v>
      </x:c>
      <x:c r="F17" s="46" t="str">
        <x:v>P1</x:v>
      </x:c>
      <x:c r="G17" s="46" t="str">
        <x:v>开发</x:v>
      </x:c>
      <x:c r="H17" s="47" t="n">
        <x:v>46245</x:v>
      </x:c>
      <x:c r="I17" s="46" t="str">
        <x:v>DB-004,ADM-011</x:v>
      </x:c>
      <x:c r="J17" s="46" t="str">
        <x:v>标题、描述、OG、社交链接由后台控制</x:v>
      </x:c>
      <x:c r="K17" s="46" t="str">
        <x:v>metadata目前硬编码</x:v>
      </x:c>
      <x:c r="L17" s="46" t="str">
        <x:v>实现配置缓存与默认值</x:v>
      </x:c>
      <x:c r="M17" s="47" t="n">
        <x:v>46234</x:v>
      </x:c>
      <x:c r="N17" s="48" t="n">
        <x:f>IF(E17="已完成",1,IF(E17="待验收",0.85,IF(E17="进行中",0.5,IF(E17="待外部",0.15,IF(E17="阻塞",0.1,0)))))</x:f>
        <x:v>0</x:v>
      </x:c>
      <x:c r="O17" s="46" t="str"/>
    </x:row>
    <x:row r="18" ht="44" customHeight="1">
      <x:c r="A18" s="46" t="str">
        <x:v>FE-013</x:v>
      </x:c>
      <x:c r="B18" s="46" t="str">
        <x:v>前端产品</x:v>
      </x:c>
      <x:c r="C18" s="46" t="str">
        <x:v>路由</x:v>
      </x:c>
      <x:c r="D18" s="46" t="str">
        <x:v>修复根路径与next-intl中间件</x:v>
      </x:c>
      <x:c r="E18" s="46" t="str">
        <x:v>待开始</x:v>
      </x:c>
      <x:c r="F18" s="46" t="str">
        <x:v>P0</x:v>
      </x:c>
      <x:c r="G18" s="46" t="str">
        <x:v>开发</x:v>
      </x:c>
      <x:c r="H18" s="47" t="n">
        <x:v>46239</x:v>
      </x:c>
      <x:c r="I18" s="46" t="str">
        <x:v>无</x:v>
      </x:c>
      <x:c r="J18" s="46" t="str">
        <x:v>/可正确重定向默认语言，所有locale稳定</x:v>
      </x:c>
      <x:c r="K18" s="46" t="str">
        <x:v>middleware目前只处理Auth.js</x:v>
      </x:c>
      <x:c r="L18" s="46" t="str">
        <x:v>合并Auth与i18n中间件</x:v>
      </x:c>
      <x:c r="M18" s="47" t="n">
        <x:v>46234</x:v>
      </x:c>
      <x:c r="N18" s="48" t="n">
        <x:f>IF(E18="已完成",1,IF(E18="待验收",0.85,IF(E18="进行中",0.5,IF(E18="待外部",0.15,IF(E18="阻塞",0.1,0)))))</x:f>
        <x:v>0</x:v>
      </x:c>
      <x:c r="O18" s="46" t="str"/>
    </x:row>
    <x:row r="19" ht="44" customHeight="1">
      <x:c r="A19" s="46" t="str">
        <x:v>FE-014</x:v>
      </x:c>
      <x:c r="B19" s="46" t="str">
        <x:v>前端产品</x:v>
      </x:c>
      <x:c r="C19" s="46" t="str">
        <x:v>错误体验</x:v>
      </x:c>
      <x:c r="D19" s="46" t="str">
        <x:v>404、API错误和空状态统一</x:v>
      </x:c>
      <x:c r="E19" s="46" t="str">
        <x:v>待开始</x:v>
      </x:c>
      <x:c r="F19" s="46" t="str">
        <x:v>P2</x:v>
      </x:c>
      <x:c r="G19" s="46" t="str">
        <x:v>开发</x:v>
      </x:c>
      <x:c r="H19" s="47" t="n">
        <x:v>46252</x:v>
      </x:c>
      <x:c r="I19" s="46" t="str">
        <x:v>FE-010</x:v>
      </x:c>
      <x:c r="J19" s="46" t="str">
        <x:v>关键页面均有友好错误与重试</x:v>
      </x:c>
      <x:c r="K19" s="46" t="str">
        <x:v>现有页面多处静默catch</x:v>
      </x:c>
      <x:c r="L19" s="46" t="str">
        <x:v>建立统一Error/Empty组件</x:v>
      </x:c>
      <x:c r="M19" s="47" t="n">
        <x:v>46234</x:v>
      </x:c>
      <x:c r="N19" s="48" t="n">
        <x:f>IF(E19="已完成",1,IF(E19="待验收",0.85,IF(E19="进行中",0.5,IF(E19="待外部",0.15,IF(E19="阻塞",0.1,0)))))</x:f>
        <x:v>0</x:v>
      </x:c>
      <x:c r="O19" s="46" t="str"/>
    </x:row>
    <x:row r="20" ht="44" customHeight="1">
      <x:c r="A20" s="46" t="str">
        <x:v>FE-015</x:v>
      </x:c>
      <x:c r="B20" s="46" t="str">
        <x:v>前端产品</x:v>
      </x:c>
      <x:c r="C20" s="46" t="str">
        <x:v>移动体验</x:v>
      </x:c>
      <x:c r="D20" s="46" t="str">
        <x:v>移动端导航与游戏容器专项优化</x:v>
      </x:c>
      <x:c r="E20" s="46" t="str">
        <x:v>待开始</x:v>
      </x:c>
      <x:c r="F20" s="46" t="str">
        <x:v>P2</x:v>
      </x:c>
      <x:c r="G20" s="46" t="str">
        <x:v>开发</x:v>
      </x:c>
      <x:c r="H20" s="47" t="n">
        <x:v>46254</x:v>
      </x:c>
      <x:c r="I20" s="46" t="str">
        <x:v>FE-010</x:v>
      </x:c>
      <x:c r="J20" s="46" t="str">
        <x:v>主流手机无横向溢出，游戏可全屏</x:v>
      </x:c>
      <x:c r="K20" s="46" t="str">
        <x:v>已有响应式基础</x:v>
      </x:c>
      <x:c r="L20" s="46" t="str">
        <x:v>完成真机检查清单</x:v>
      </x:c>
      <x:c r="M20" s="47" t="n">
        <x:v>46234</x:v>
      </x:c>
      <x:c r="N20" s="48" t="n">
        <x:f>IF(E20="已完成",1,IF(E20="待验收",0.85,IF(E20="进行中",0.5,IF(E20="待外部",0.15,IF(E20="阻塞",0.1,0)))))</x:f>
        <x:v>0</x:v>
      </x:c>
      <x:c r="O20" s="46" t="str"/>
    </x:row>
    <x:row r="21" ht="44" customHeight="1">
      <x:c r="A21" s="46" t="str">
        <x:v>ADM-001</x:v>
      </x:c>
      <x:c r="B21" s="46" t="str">
        <x:v>运营后台</x:v>
      </x:c>
      <x:c r="C21" s="46" t="str">
        <x:v>后台框架</x:v>
      </x:c>
      <x:c r="D21" s="46" t="str">
        <x:v>独立后台布局、侧栏和导航</x:v>
      </x:c>
      <x:c r="E21" s="46" t="str">
        <x:v>已完成</x:v>
      </x:c>
      <x:c r="F21" s="46" t="str">
        <x:v>P0</x:v>
      </x:c>
      <x:c r="G21" s="46" t="str">
        <x:v>开发</x:v>
      </x:c>
      <x:c r="H21" s="47" t="n">
        <x:v>46232</x:v>
      </x:c>
      <x:c r="I21" s="46" t="str">
        <x:v>FE-001</x:v>
      </x:c>
      <x:c r="J21" s="46" t="str">
        <x:v>/admin布局正常且noindex</x:v>
      </x:c>
      <x:c r="K21" s="46" t="str">
        <x:v>app/admin/layout.tsx</x:v>
      </x:c>
      <x:c r="L21" s="46" t="str">
        <x:v>增加当前菜单高亮</x:v>
      </x:c>
      <x:c r="M21" s="47" t="n">
        <x:v>46233</x:v>
      </x:c>
      <x:c r="N21" s="48" t="n">
        <x:f>IF(E21="已完成",1,IF(E21="待验收",0.85,IF(E21="进行中",0.5,IF(E21="待外部",0.15,IF(E21="阻塞",0.1,0)))))</x:f>
        <x:v>1</x:v>
      </x:c>
      <x:c r="O21" s="46" t="str"/>
    </x:row>
    <x:row r="22" ht="44" customHeight="1">
      <x:c r="A22" s="46" t="str">
        <x:v>ADM-002</x:v>
      </x:c>
      <x:c r="B22" s="46" t="str">
        <x:v>运营后台</x:v>
      </x:c>
      <x:c r="C22" s="46" t="str">
        <x:v>数据看板</x:v>
      </x:c>
      <x:c r="D22" s="46" t="str">
        <x:v>运营概览与数据库健康状态</x:v>
      </x:c>
      <x:c r="E22" s="46" t="str">
        <x:v>已完成</x:v>
      </x:c>
      <x:c r="F22" s="46" t="str">
        <x:v>P1</x:v>
      </x:c>
      <x:c r="G22" s="46" t="str">
        <x:v>开发</x:v>
      </x:c>
      <x:c r="H22" s="47" t="n">
        <x:v>46233</x:v>
      </x:c>
      <x:c r="I22" s="46" t="str">
        <x:v>DB-001</x:v>
      </x:c>
      <x:c r="J22" s="46" t="str">
        <x:v>显示静态游戏、用户及数据库状态</x:v>
      </x:c>
      <x:c r="K22" s="46" t="str">
        <x:v>app/admin/page.tsx、lib/db-health.ts</x:v>
      </x:c>
      <x:c r="L22" s="46" t="str">
        <x:v>补登录与积分KPI</x:v>
      </x:c>
      <x:c r="M22" s="47" t="n">
        <x:v>46233</x:v>
      </x:c>
      <x:c r="N22" s="48" t="n">
        <x:f>IF(E22="已完成",1,IF(E22="待验收",0.85,IF(E22="进行中",0.5,IF(E22="待外部",0.15,IF(E22="阻塞",0.1,0)))))</x:f>
        <x:v>1</x:v>
      </x:c>
      <x:c r="O22" s="46" t="str"/>
    </x:row>
    <x:row r="23" ht="44" customHeight="1">
      <x:c r="A23" s="46" t="str">
        <x:v>ADM-003</x:v>
      </x:c>
      <x:c r="B23" s="46" t="str">
        <x:v>运营后台</x:v>
      </x:c>
      <x:c r="C23" s="46" t="str">
        <x:v>游戏管理</x:v>
      </x:c>
      <x:c r="D23" s="46" t="str">
        <x:v>游戏列表页面</x:v>
      </x:c>
      <x:c r="E23" s="46" t="str">
        <x:v>已完成</x:v>
      </x:c>
      <x:c r="F23" s="46" t="str">
        <x:v>P0</x:v>
      </x:c>
      <x:c r="G23" s="46" t="str">
        <x:v>开发</x:v>
      </x:c>
      <x:c r="H23" s="47" t="n">
        <x:v>46232</x:v>
      </x:c>
      <x:c r="I23" s="46" t="str">
        <x:v>ADM-001</x:v>
      </x:c>
      <x:c r="J23" s="46" t="str">
        <x:v>可查看游戏列表与进入编辑页</x:v>
      </x:c>
      <x:c r="K23" s="46" t="str">
        <x:v>app/admin/games/page.tsx</x:v>
      </x:c>
      <x:c r="L23" s="46" t="str">
        <x:v>改为显示数据库游戏</x:v>
      </x:c>
      <x:c r="M23" s="47" t="n">
        <x:v>46233</x:v>
      </x:c>
      <x:c r="N23" s="48" t="n">
        <x:f>IF(E23="已完成",1,IF(E23="待验收",0.85,IF(E23="进行中",0.5,IF(E23="待外部",0.15,IF(E23="阻塞",0.1,0)))))</x:f>
        <x:v>1</x:v>
      </x:c>
      <x:c r="O23" s="46" t="str"/>
    </x:row>
    <x:row r="24" ht="44" customHeight="1">
      <x:c r="A24" s="46" t="str">
        <x:v>ADM-004</x:v>
      </x:c>
      <x:c r="B24" s="46" t="str">
        <x:v>运营后台</x:v>
      </x:c>
      <x:c r="C24" s="46" t="str">
        <x:v>游戏管理</x:v>
      </x:c>
      <x:c r="D24" s="46" t="str">
        <x:v>新建游戏表单</x:v>
      </x:c>
      <x:c r="E24" s="46" t="str">
        <x:v>已完成</x:v>
      </x:c>
      <x:c r="F24" s="46" t="str">
        <x:v>P0</x:v>
      </x:c>
      <x:c r="G24" s="46" t="str">
        <x:v>开发</x:v>
      </x:c>
      <x:c r="H24" s="47" t="n">
        <x:v>46233</x:v>
      </x:c>
      <x:c r="I24" s="46" t="str">
        <x:v>API-006</x:v>
      </x:c>
      <x:c r="J24" s="46" t="str">
        <x:v>表单可调用POST创建游戏</x:v>
      </x:c>
      <x:c r="K24" s="46" t="str">
        <x:v>components/admin/NewGameForm.tsx</x:v>
      </x:c>
      <x:c r="L24" s="46" t="str">
        <x:v>修复新建后编辑页404</x:v>
      </x:c>
      <x:c r="M24" s="47" t="n">
        <x:v>46233</x:v>
      </x:c>
      <x:c r="N24" s="48" t="n">
        <x:f>IF(E24="已完成",1,IF(E24="待验收",0.85,IF(E24="进行中",0.5,IF(E24="待外部",0.15,IF(E24="阻塞",0.1,0)))))</x:f>
        <x:v>1</x:v>
      </x:c>
      <x:c r="O24" s="46" t="str"/>
    </x:row>
    <x:row r="25" ht="44" customHeight="1">
      <x:c r="A25" s="46" t="str">
        <x:v>ADM-005</x:v>
      </x:c>
      <x:c r="B25" s="46" t="str">
        <x:v>运营后台</x:v>
      </x:c>
      <x:c r="C25" s="46" t="str">
        <x:v>游戏管理</x:v>
      </x:c>
      <x:c r="D25" s="46" t="str">
        <x:v>游戏编辑表单</x:v>
      </x:c>
      <x:c r="E25" s="46" t="str">
        <x:v>已完成</x:v>
      </x:c>
      <x:c r="F25" s="46" t="str">
        <x:v>P0</x:v>
      </x:c>
      <x:c r="G25" s="46" t="str">
        <x:v>开发</x:v>
      </x:c>
      <x:c r="H25" s="47" t="n">
        <x:v>46233</x:v>
      </x:c>
      <x:c r="I25" s="46" t="str">
        <x:v>API-007</x:v>
      </x:c>
      <x:c r="J25" s="46" t="str">
        <x:v>可编辑标题、URL、标签、状态等</x:v>
      </x:c>
      <x:c r="K25" s="46" t="str">
        <x:v>components/admin/GameEditorForm.tsx</x:v>
      </x:c>
      <x:c r="L25" s="46" t="str">
        <x:v>支持数据库独有游戏</x:v>
      </x:c>
      <x:c r="M25" s="47" t="n">
        <x:v>46233</x:v>
      </x:c>
      <x:c r="N25" s="48" t="n">
        <x:f>IF(E25="已完成",1,IF(E25="待验收",0.85,IF(E25="进行中",0.5,IF(E25="待外部",0.15,IF(E25="阻塞",0.1,0)))))</x:f>
        <x:v>1</x:v>
      </x:c>
      <x:c r="O25" s="46" t="str"/>
    </x:row>
    <x:row r="26" ht="44" customHeight="1">
      <x:c r="A26" s="46" t="str">
        <x:v>ADM-006</x:v>
      </x:c>
      <x:c r="B26" s="46" t="str">
        <x:v>运营后台</x:v>
      </x:c>
      <x:c r="C26" s="46" t="str">
        <x:v>游戏管理</x:v>
      </x:c>
      <x:c r="D26" s="46" t="str">
        <x:v>修复数据库新游戏编辑页404</x:v>
      </x:c>
      <x:c r="E26" s="46" t="str">
        <x:v>待开始</x:v>
      </x:c>
      <x:c r="F26" s="46" t="str">
        <x:v>P0</x:v>
      </x:c>
      <x:c r="G26" s="46" t="str">
        <x:v>开发</x:v>
      </x:c>
      <x:c r="H26" s="47" t="n">
        <x:v>46238</x:v>
      </x:c>
      <x:c r="I26" s="46" t="str">
        <x:v>ADM-004,DB-005</x:v>
      </x:c>
      <x:c r="J26" s="46" t="str">
        <x:v>新建后可进入编辑、FAQ和Features</x:v>
      </x:c>
      <x:c r="K26" s="46" t="str">
        <x:v>页面先要求静态getGame命中</x:v>
      </x:c>
      <x:c r="L26" s="46" t="str">
        <x:v>所有后台页面以DB为主</x:v>
      </x:c>
      <x:c r="M26" s="47" t="n">
        <x:v>46234</x:v>
      </x:c>
      <x:c r="N26" s="48" t="n">
        <x:f>IF(E26="已完成",1,IF(E26="待验收",0.85,IF(E26="进行中",0.5,IF(E26="待外部",0.15,IF(E26="阻塞",0.1,0)))))</x:f>
        <x:v>0</x:v>
      </x:c>
      <x:c r="O26" s="46" t="str"/>
    </x:row>
    <x:row r="27" ht="44" customHeight="1">
      <x:c r="A27" s="46" t="str">
        <x:v>ADM-007</x:v>
      </x:c>
      <x:c r="B27" s="46" t="str">
        <x:v>运营后台</x:v>
      </x:c>
      <x:c r="C27" s="46" t="str">
        <x:v>游戏管理</x:v>
      </x:c>
      <x:c r="D27" s="46" t="str">
        <x:v>游戏列表显示数据库新游戏</x:v>
      </x:c>
      <x:c r="E27" s="46" t="str">
        <x:v>待开始</x:v>
      </x:c>
      <x:c r="F27" s="46" t="str">
        <x:v>P0</x:v>
      </x:c>
      <x:c r="G27" s="46" t="str">
        <x:v>开发</x:v>
      </x:c>
      <x:c r="H27" s="47" t="n">
        <x:v>46238</x:v>
      </x:c>
      <x:c r="I27" s="46" t="str">
        <x:v>DB-005</x:v>
      </x:c>
      <x:c r="J27" s="46" t="str">
        <x:v>列表数量与数据库一致</x:v>
      </x:c>
      <x:c r="K27" s="46" t="str">
        <x:v>当前表格始终遍历静态游戏</x:v>
      </x:c>
      <x:c r="L27" s="46" t="str">
        <x:v>改造getGameList与空状态</x:v>
      </x:c>
      <x:c r="M27" s="47" t="n">
        <x:v>46234</x:v>
      </x:c>
      <x:c r="N27" s="48" t="n">
        <x:f>IF(E27="已完成",1,IF(E27="待验收",0.85,IF(E27="进行中",0.5,IF(E27="待外部",0.15,IF(E27="阻塞",0.1,0)))))</x:f>
        <x:v>0</x:v>
      </x:c>
      <x:c r="O27" s="46" t="str"/>
    </x:row>
    <x:row r="28" ht="44" customHeight="1">
      <x:c r="A28" s="46" t="str">
        <x:v>ADM-008</x:v>
      </x:c>
      <x:c r="B28" s="46" t="str">
        <x:v>运营后台</x:v>
      </x:c>
      <x:c r="C28" s="46" t="str">
        <x:v>FAQ管理</x:v>
      </x:c>
      <x:c r="D28" s="46" t="str">
        <x:v>FAQ多语言增删改编辑器</x:v>
      </x:c>
      <x:c r="E28" s="46" t="str">
        <x:v>已完成</x:v>
      </x:c>
      <x:c r="F28" s="46" t="str">
        <x:v>P1</x:v>
      </x:c>
      <x:c r="G28" s="46" t="str">
        <x:v>开发</x:v>
      </x:c>
      <x:c r="H28" s="47" t="n">
        <x:v>46233</x:v>
      </x:c>
      <x:c r="I28" s="46" t="str">
        <x:v>API-008</x:v>
      </x:c>
      <x:c r="J28" s="46" t="str">
        <x:v>按语言新增、编辑、删除FAQ</x:v>
      </x:c>
      <x:c r="K28" s="46" t="str">
        <x:v>components/admin/FaqEditor.tsx</x:v>
      </x:c>
      <x:c r="L28" s="46" t="str">
        <x:v>补所属游戏校验与E2E</x:v>
      </x:c>
      <x:c r="M28" s="47" t="n">
        <x:v>46233</x:v>
      </x:c>
      <x:c r="N28" s="48" t="n">
        <x:f>IF(E28="已完成",1,IF(E28="待验收",0.85,IF(E28="进行中",0.5,IF(E28="待外部",0.15,IF(E28="阻塞",0.1,0)))))</x:f>
        <x:v>1</x:v>
      </x:c>
      <x:c r="O28" s="46" t="str"/>
    </x:row>
    <x:row r="29" ht="44" customHeight="1">
      <x:c r="A29" s="46" t="str">
        <x:v>ADM-009</x:v>
      </x:c>
      <x:c r="B29" s="46" t="str">
        <x:v>运营后台</x:v>
      </x:c>
      <x:c r="C29" s="46" t="str">
        <x:v>Features管理</x:v>
      </x:c>
      <x:c r="D29" s="46" t="str">
        <x:v>Markdown内容编辑器</x:v>
      </x:c>
      <x:c r="E29" s="46" t="str">
        <x:v>已完成</x:v>
      </x:c>
      <x:c r="F29" s="46" t="str">
        <x:v>P1</x:v>
      </x:c>
      <x:c r="G29" s="46" t="str">
        <x:v>开发</x:v>
      </x:c>
      <x:c r="H29" s="47" t="n">
        <x:v>46233</x:v>
      </x:c>
      <x:c r="I29" s="46" t="str">
        <x:v>API-009</x:v>
      </x:c>
      <x:c r="J29" s="46" t="str">
        <x:v>每游戏每语言可保存Features</x:v>
      </x:c>
      <x:c r="K29" s="46" t="str">
        <x:v>components/admin/FeaturesEditor.tsx</x:v>
      </x:c>
      <x:c r="L29" s="46" t="str">
        <x:v>增加预览与内容安全处理</x:v>
      </x:c>
      <x:c r="M29" s="47" t="n">
        <x:v>46233</x:v>
      </x:c>
      <x:c r="N29" s="48" t="n">
        <x:f>IF(E29="已完成",1,IF(E29="待验收",0.85,IF(E29="进行中",0.5,IF(E29="待外部",0.15,IF(E29="阻塞",0.1,0)))))</x:f>
        <x:v>1</x:v>
      </x:c>
      <x:c r="O29" s="46" t="str"/>
    </x:row>
    <x:row r="30" ht="44" customHeight="1">
      <x:c r="A30" s="46" t="str">
        <x:v>ADM-010</x:v>
      </x:c>
      <x:c r="B30" s="46" t="str">
        <x:v>运营后台</x:v>
      </x:c>
      <x:c r="C30" s="46" t="str">
        <x:v>i18n管理</x:v>
      </x:c>
      <x:c r="D30" s="46" t="str">
        <x:v>i18n列表、筛选与新增</x:v>
      </x:c>
      <x:c r="E30" s="46" t="str">
        <x:v>已完成</x:v>
      </x:c>
      <x:c r="F30" s="46" t="str">
        <x:v>P1</x:v>
      </x:c>
      <x:c r="G30" s="46" t="str">
        <x:v>开发</x:v>
      </x:c>
      <x:c r="H30" s="47" t="n">
        <x:v>46233</x:v>
      </x:c>
      <x:c r="I30" s="46" t="str">
        <x:v>API-011</x:v>
      </x:c>
      <x:c r="J30" s="46" t="str">
        <x:v>按语言筛选并新增文案</x:v>
      </x:c>
      <x:c r="K30" s="46" t="str">
        <x:v>components/admin/I18nEditor.tsx</x:v>
      </x:c>
      <x:c r="L30" s="46" t="str">
        <x:v>修复已有文案更新参数</x:v>
      </x:c>
      <x:c r="M30" s="47" t="n">
        <x:v>46233</x:v>
      </x:c>
      <x:c r="N30" s="48" t="n">
        <x:f>IF(E30="已完成",1,IF(E30="待验收",0.85,IF(E30="进行中",0.5,IF(E30="待外部",0.15,IF(E30="阻塞",0.1,0)))))</x:f>
        <x:v>1</x:v>
      </x:c>
      <x:c r="O30" s="46" t="str"/>
    </x:row>
    <x:row r="31" ht="44" customHeight="1">
      <x:c r="A31" s="46" t="str">
        <x:v>ADM-011</x:v>
      </x:c>
      <x:c r="B31" s="46" t="str">
        <x:v>运营后台</x:v>
      </x:c>
      <x:c r="C31" s="46" t="str">
        <x:v>站点设置</x:v>
      </x:c>
      <x:c r="D31" s="46" t="str">
        <x:v>站点、社交、分析配置表单</x:v>
      </x:c>
      <x:c r="E31" s="46" t="str">
        <x:v>已完成</x:v>
      </x:c>
      <x:c r="F31" s="46" t="str">
        <x:v>P1</x:v>
      </x:c>
      <x:c r="G31" s="46" t="str">
        <x:v>开发</x:v>
      </x:c>
      <x:c r="H31" s="47" t="n">
        <x:v>46233</x:v>
      </x:c>
      <x:c r="I31" s="46" t="str">
        <x:v>API-010</x:v>
      </x:c>
      <x:c r="J31" s="46" t="str">
        <x:v>已存配置可回填并提交</x:v>
      </x:c>
      <x:c r="K31" s="46" t="str">
        <x:v>components/admin/SettingsForm.tsx</x:v>
      </x:c>
      <x:c r="L31" s="46" t="str">
        <x:v>检查每个保存请求res.ok</x:v>
      </x:c>
      <x:c r="M31" s="47" t="n">
        <x:v>46233</x:v>
      </x:c>
      <x:c r="N31" s="48" t="n">
        <x:f>IF(E31="已完成",1,IF(E31="待验收",0.85,IF(E31="进行中",0.5,IF(E31="待外部",0.15,IF(E31="阻塞",0.1,0)))))</x:f>
        <x:v>1</x:v>
      </x:c>
      <x:c r="O31" s="46" t="str"/>
    </x:row>
    <x:row r="32" ht="44" customHeight="1">
      <x:c r="A32" s="46" t="str">
        <x:v>ADM-012</x:v>
      </x:c>
      <x:c r="B32" s="46" t="str">
        <x:v>运营后台</x:v>
      </x:c>
      <x:c r="C32" s="46" t="str">
        <x:v>i18n管理</x:v>
      </x:c>
      <x:c r="D32" s="46" t="str">
        <x:v>修复已有文案无法更新</x:v>
      </x:c>
      <x:c r="E32" s="46" t="str">
        <x:v>待开始</x:v>
      </x:c>
      <x:c r="F32" s="46" t="str">
        <x:v>P0</x:v>
      </x:c>
      <x:c r="G32" s="46" t="str">
        <x:v>开发</x:v>
      </x:c>
      <x:c r="H32" s="47" t="n">
        <x:v>46237</x:v>
      </x:c>
      <x:c r="I32" s="46" t="str">
        <x:v>ADM-010,API-011</x:v>
      </x:c>
      <x:c r="J32" s="46" t="str">
        <x:v>更新请求包含key、locale、value并成功</x:v>
      </x:c>
      <x:c r="K32" s="46" t="str">
        <x:v>当前update只提交value</x:v>
      </x:c>
      <x:c r="L32" s="46" t="str">
        <x:v>修复payload并加测试</x:v>
      </x:c>
      <x:c r="M32" s="47" t="n">
        <x:v>46234</x:v>
      </x:c>
      <x:c r="N32" s="48" t="n">
        <x:f>IF(E32="已完成",1,IF(E32="待验收",0.85,IF(E32="进行中",0.5,IF(E32="待外部",0.15,IF(E32="阻塞",0.1,0)))))</x:f>
        <x:v>0</x:v>
      </x:c>
      <x:c r="O32" s="46" t="str"/>
    </x:row>
    <x:row r="33" ht="44" customHeight="1">
      <x:c r="A33" s="46" t="str">
        <x:v>ADM-013</x:v>
      </x:c>
      <x:c r="B33" s="46" t="str">
        <x:v>运营后台</x:v>
      </x:c>
      <x:c r="C33" s="46" t="str">
        <x:v>站点设置</x:v>
      </x:c>
      <x:c r="D33" s="46" t="str">
        <x:v>修复保存失败仍显示成功</x:v>
      </x:c>
      <x:c r="E33" s="46" t="str">
        <x:v>待开始</x:v>
      </x:c>
      <x:c r="F33" s="46" t="str">
        <x:v>P0</x:v>
      </x:c>
      <x:c r="G33" s="46" t="str">
        <x:v>开发</x:v>
      </x:c>
      <x:c r="H33" s="47" t="n">
        <x:v>46237</x:v>
      </x:c>
      <x:c r="I33" s="46" t="str">
        <x:v>ADM-011</x:v>
      </x:c>
      <x:c r="J33" s="46" t="str">
        <x:v>任一请求失败时显示错误且不误报</x:v>
      </x:c>
      <x:c r="K33" s="46" t="str">
        <x:v>Promise.all未验证response.ok</x:v>
      </x:c>
      <x:c r="L33" s="46" t="str">
        <x:v>封装request并补错误提示</x:v>
      </x:c>
      <x:c r="M33" s="47" t="n">
        <x:v>46234</x:v>
      </x:c>
      <x:c r="N33" s="48" t="n">
        <x:f>IF(E33="已完成",1,IF(E33="待验收",0.85,IF(E33="进行中",0.5,IF(E33="待外部",0.15,IF(E33="阻塞",0.1,0)))))</x:f>
        <x:v>0</x:v>
      </x:c>
      <x:c r="O33" s="46" t="str"/>
    </x:row>
    <x:row r="34" ht="44" customHeight="1">
      <x:c r="A34" s="46" t="str">
        <x:v>ADM-014</x:v>
      </x:c>
      <x:c r="B34" s="46" t="str">
        <x:v>运营后台</x:v>
      </x:c>
      <x:c r="C34" s="46" t="str">
        <x:v>权限</x:v>
      </x:c>
      <x:c r="D34" s="46" t="str">
        <x:v>后台Server Component执行管理员校验</x:v>
      </x:c>
      <x:c r="E34" s="46" t="str">
        <x:v>待开始</x:v>
      </x:c>
      <x:c r="F34" s="46" t="str">
        <x:v>P0</x:v>
      </x:c>
      <x:c r="G34" s="46" t="str">
        <x:v>开发</x:v>
      </x:c>
      <x:c r="H34" s="47" t="n">
        <x:v>46239</x:v>
      </x:c>
      <x:c r="I34" s="46" t="str">
        <x:v>AUTH-006</x:v>
      </x:c>
      <x:c r="J34" s="46" t="str">
        <x:v>非管理员不能看到后台HTML或统计</x:v>
      </x:c>
      <x:c r="K34" s="46" t="str">
        <x:v>middleware只检查是否登录</x:v>
      </x:c>
      <x:c r="L34" s="46" t="str">
        <x:v>在admin layout统一校验角色</x:v>
      </x:c>
      <x:c r="M34" s="47" t="n">
        <x:v>46234</x:v>
      </x:c>
      <x:c r="N34" s="48" t="n">
        <x:f>IF(E34="已完成",1,IF(E34="待验收",0.85,IF(E34="进行中",0.5,IF(E34="待外部",0.15,IF(E34="阻塞",0.1,0)))))</x:f>
        <x:v>0</x:v>
      </x:c>
      <x:c r="O34" s="46" t="str"/>
    </x:row>
    <x:row r="35" ht="44" customHeight="1">
      <x:c r="A35" s="46" t="str">
        <x:v>ADM-015</x:v>
      </x:c>
      <x:c r="B35" s="46" t="str">
        <x:v>运营后台</x:v>
      </x:c>
      <x:c r="C35" s="46" t="str">
        <x:v>发布流程</x:v>
      </x:c>
      <x:c r="D35" s="46" t="str">
        <x:v>草稿、发布与预览流程</x:v>
      </x:c>
      <x:c r="E35" s="46" t="str">
        <x:v>待开始</x:v>
      </x:c>
      <x:c r="F35" s="46" t="str">
        <x:v>P1</x:v>
      </x:c>
      <x:c r="G35" s="46" t="str">
        <x:v>产品+开发</x:v>
      </x:c>
      <x:c r="H35" s="47" t="n">
        <x:v>46249</x:v>
      </x:c>
      <x:c r="I35" s="46" t="str">
        <x:v>FE-010</x:v>
      </x:c>
      <x:c r="J35" s="46" t="str">
        <x:v>内容修改可预览并明确发布</x:v>
      </x:c>
      <x:c r="K35" s="46" t="str">
        <x:v>当前isActive只有简单开关</x:v>
      </x:c>
      <x:c r="L35" s="46" t="str">
        <x:v>定义状态机和发布日志</x:v>
      </x:c>
      <x:c r="M35" s="47" t="n">
        <x:v>46234</x:v>
      </x:c>
      <x:c r="N35" s="48" t="n">
        <x:f>IF(E35="已完成",1,IF(E35="待验收",0.85,IF(E35="进行中",0.5,IF(E35="待外部",0.15,IF(E35="阻塞",0.1,0)))))</x:f>
        <x:v>0</x:v>
      </x:c>
      <x:c r="O35" s="46" t="str"/>
    </x:row>
    <x:row r="36" ht="44" customHeight="1">
      <x:c r="A36" s="46" t="str">
        <x:v>ADM-016</x:v>
      </x:c>
      <x:c r="B36" s="46" t="str">
        <x:v>运营后台</x:v>
      </x:c>
      <x:c r="C36" s="46" t="str">
        <x:v>SEO/GEO</x:v>
      </x:c>
      <x:c r="D36" s="46" t="str">
        <x:v>发布前SEO检查中心</x:v>
      </x:c>
      <x:c r="E36" s="46" t="str">
        <x:v>待开始</x:v>
      </x:c>
      <x:c r="F36" s="46" t="str">
        <x:v>P2</x:v>
      </x:c>
      <x:c r="G36" s="46" t="str">
        <x:v>开发+SEO</x:v>
      </x:c>
      <x:c r="H36" s="47" t="n">
        <x:v>46257</x:v>
      </x:c>
      <x:c r="I36" s="46" t="str">
        <x:v>SEO-006,FE-011</x:v>
      </x:c>
      <x:c r="J36" s="46" t="str">
        <x:v>检测title、description、FAQ、hreflang和noindex</x:v>
      </x:c>
      <x:c r="K36" s="46" t="str">
        <x:v>仅存在设计文档</x:v>
      </x:c>
      <x:c r="L36" s="46" t="str">
        <x:v>先完成最小规则集</x:v>
      </x:c>
      <x:c r="M36" s="47" t="n">
        <x:v>46234</x:v>
      </x:c>
      <x:c r="N36" s="48" t="n">
        <x:f>IF(E36="已完成",1,IF(E36="待验收",0.85,IF(E36="进行中",0.5,IF(E36="待外部",0.15,IF(E36="阻塞",0.1,0)))))</x:f>
        <x:v>0</x:v>
      </x:c>
      <x:c r="O36" s="46" t="str"/>
    </x:row>
    <x:row r="37" ht="44" customHeight="1">
      <x:c r="A37" s="46" t="str">
        <x:v>ADM-017</x:v>
      </x:c>
      <x:c r="B37" s="46" t="str">
        <x:v>运营后台</x:v>
      </x:c>
      <x:c r="C37" s="46" t="str">
        <x:v>主题管理</x:v>
      </x:c>
      <x:c r="D37" s="46" t="str">
        <x:v>ThemePreset管理界面</x:v>
      </x:c>
      <x:c r="E37" s="46" t="str">
        <x:v>待开始</x:v>
      </x:c>
      <x:c r="F37" s="46" t="str">
        <x:v>P3</x:v>
      </x:c>
      <x:c r="G37" s="46" t="str">
        <x:v>开发</x:v>
      </x:c>
      <x:c r="H37" s="47" t="n">
        <x:v>46275</x:v>
      </x:c>
      <x:c r="I37" s="46" t="str">
        <x:v>FE-012</x:v>
      </x:c>
      <x:c r="J37" s="46" t="str">
        <x:v>主题可创建、预览和启用</x:v>
      </x:c>
      <x:c r="K37" s="46" t="str">
        <x:v>只有Prisma模型</x:v>
      </x:c>
      <x:c r="L37" s="46" t="str">
        <x:v>排入软启动后</x:v>
      </x:c>
      <x:c r="M37" s="47" t="n">
        <x:v>46234</x:v>
      </x:c>
      <x:c r="N37" s="48" t="n">
        <x:f>IF(E37="已完成",1,IF(E37="待验收",0.85,IF(E37="进行中",0.5,IF(E37="待外部",0.15,IF(E37="阻塞",0.1,0)))))</x:f>
        <x:v>0</x:v>
      </x:c>
      <x:c r="O37" s="46" t="str"/>
    </x:row>
    <x:row r="38" ht="44" customHeight="1">
      <x:c r="A38" s="46" t="str">
        <x:v>API-001</x:v>
      </x:c>
      <x:c r="B38" s="46" t="str">
        <x:v>API与后端</x:v>
      </x:c>
      <x:c r="C38" s="46" t="str">
        <x:v>基础设施</x:v>
      </x:c>
      <x:c r="D38" s="46" t="str">
        <x:v>Auth.js API handlers</x:v>
      </x:c>
      <x:c r="E38" s="46" t="str">
        <x:v>已完成</x:v>
      </x:c>
      <x:c r="F38" s="46" t="str">
        <x:v>P0</x:v>
      </x:c>
      <x:c r="G38" s="46" t="str">
        <x:v>开发</x:v>
      </x:c>
      <x:c r="H38" s="47" t="n">
        <x:v>46233</x:v>
      </x:c>
      <x:c r="I38" s="46" t="str">
        <x:v>AUTH-001</x:v>
      </x:c>
      <x:c r="J38" s="46" t="str">
        <x:v>/api/auth/*由Auth.js处理</x:v>
      </x:c>
      <x:c r="K38" s="46" t="str">
        <x:v>app/api/auth/[...nextauth]/route.ts</x:v>
      </x:c>
      <x:c r="L38" s="46" t="str">
        <x:v>接入真实Provider并联调</x:v>
      </x:c>
      <x:c r="M38" s="47" t="n">
        <x:v>46233</x:v>
      </x:c>
      <x:c r="N38" s="48" t="n">
        <x:f>IF(E38="已完成",1,IF(E38="待验收",0.85,IF(E38="进行中",0.5,IF(E38="待外部",0.15,IF(E38="阻塞",0.1,0)))))</x:f>
        <x:v>1</x:v>
      </x:c>
      <x:c r="O38" s="46" t="str"/>
    </x:row>
    <x:row r="39" ht="44" customHeight="1">
      <x:c r="A39" s="46" t="str">
        <x:v>API-002</x:v>
      </x:c>
      <x:c r="B39" s="46" t="str">
        <x:v>API与后端</x:v>
      </x:c>
      <x:c r="C39" s="46" t="str">
        <x:v>积分</x:v>
      </x:c>
      <x:c r="D39" s="46" t="str">
        <x:v>GET /api/points</x:v>
      </x:c>
      <x:c r="E39" s="46" t="str">
        <x:v>已完成</x:v>
      </x:c>
      <x:c r="F39" s="46" t="str">
        <x:v>P0</x:v>
      </x:c>
      <x:c r="G39" s="46" t="str">
        <x:v>开发</x:v>
      </x:c>
      <x:c r="H39" s="47" t="n">
        <x:v>46233</x:v>
      </x:c>
      <x:c r="I39" s="46" t="str">
        <x:v>DB-001,AUTH-001</x:v>
      </x:c>
      <x:c r="J39" s="46" t="str">
        <x:v>登录用户可读取权威积分</x:v>
      </x:c>
      <x:c r="K39" s="46" t="str">
        <x:v>app/api/points/route.ts</x:v>
      </x:c>
      <x:c r="L39" s="46" t="str">
        <x:v>前端改用该接口</x:v>
      </x:c>
      <x:c r="M39" s="47" t="n">
        <x:v>46233</x:v>
      </x:c>
      <x:c r="N39" s="48" t="n">
        <x:f>IF(E39="已完成",1,IF(E39="待验收",0.85,IF(E39="进行中",0.5,IF(E39="待外部",0.15,IF(E39="阻塞",0.1,0)))))</x:f>
        <x:v>1</x:v>
      </x:c>
      <x:c r="O39" s="46" t="str"/>
    </x:row>
    <x:row r="40" ht="44" customHeight="1">
      <x:c r="A40" s="46" t="str">
        <x:v>API-003</x:v>
      </x:c>
      <x:c r="B40" s="46" t="str">
        <x:v>API与后端</x:v>
      </x:c>
      <x:c r="C40" s="46" t="str">
        <x:v>积分</x:v>
      </x:c>
      <x:c r="D40" s="46" t="str">
        <x:v>POST /api/points及积分流水事务</x:v>
      </x:c>
      <x:c r="E40" s="46" t="str">
        <x:v>已完成</x:v>
      </x:c>
      <x:c r="F40" s="46" t="str">
        <x:v>P0</x:v>
      </x:c>
      <x:c r="G40" s="46" t="str">
        <x:v>开发</x:v>
      </x:c>
      <x:c r="H40" s="47" t="n">
        <x:v>46233</x:v>
      </x:c>
      <x:c r="I40" s="46" t="str">
        <x:v>DB-001,AUTH-001</x:v>
      </x:c>
      <x:c r="J40" s="46" t="str">
        <x:v>白名单、日上限、总分和流水事务</x:v>
      </x:c>
      <x:c r="K40" s="46" t="str">
        <x:v>app/api/points/route.ts</x:v>
      </x:c>
      <x:c r="L40" s="46" t="str">
        <x:v>修复并发上限竞态</x:v>
      </x:c>
      <x:c r="M40" s="47" t="n">
        <x:v>46233</x:v>
      </x:c>
      <x:c r="N40" s="48" t="n">
        <x:f>IF(E40="已完成",1,IF(E40="待验收",0.85,IF(E40="进行中",0.5,IF(E40="待外部",0.15,IF(E40="阻塞",0.1,0)))))</x:f>
        <x:v>1</x:v>
      </x:c>
      <x:c r="O40" s="46" t="str"/>
    </x:row>
    <x:row r="41" ht="44" customHeight="1">
      <x:c r="A41" s="46" t="str">
        <x:v>API-004</x:v>
      </x:c>
      <x:c r="B41" s="46" t="str">
        <x:v>API与后端</x:v>
      </x:c>
      <x:c r="C41" s="46" t="str">
        <x:v>X登录</x:v>
      </x:c>
      <x:c r="D41" s="46" t="str">
        <x:v>X OAuth PKCE token交换接口</x:v>
      </x:c>
      <x:c r="E41" s="46" t="str">
        <x:v>已完成</x:v>
      </x:c>
      <x:c r="F41" s="46" t="str">
        <x:v>P1</x:v>
      </x:c>
      <x:c r="G41" s="46" t="str">
        <x:v>开发</x:v>
      </x:c>
      <x:c r="H41" s="47" t="n">
        <x:v>46232</x:v>
      </x:c>
      <x:c r="I41" s="46" t="str">
        <x:v>AUTH-003</x:v>
      </x:c>
      <x:c r="J41" s="46" t="str">
        <x:v>可交换token并返回X用户资料</x:v>
      </x:c>
      <x:c r="K41" s="46" t="str">
        <x:v>X OAuth 2.0 + PKCE已由Auth.js统一处理并成功回调</x:v>
      </x:c>
      <x:c r="L41" s="46" t="str">
        <x:v>上线前复核生产回调与应用权限</x:v>
      </x:c>
      <x:c r="M41" s="47" t="n">
        <x:v>46234</x:v>
      </x:c>
      <x:c r="N41" s="48" t="n">
        <x:v>1</x:v>
      </x:c>
      <x:c r="O41" s="46" t="str"/>
    </x:row>
    <x:row r="42" ht="44" customHeight="1">
      <x:c r="A42" s="46" t="str">
        <x:v>API-005</x:v>
      </x:c>
      <x:c r="B42" s="46" t="str">
        <x:v>API与后端</x:v>
      </x:c>
      <x:c r="C42" s="46" t="str">
        <x:v>后台权限</x:v>
      </x:c>
      <x:c r="D42" s="46" t="str">
        <x:v>requireAdmin统一守卫</x:v>
      </x:c>
      <x:c r="E42" s="46" t="str">
        <x:v>已完成</x:v>
      </x:c>
      <x:c r="F42" s="46" t="str">
        <x:v>P0</x:v>
      </x:c>
      <x:c r="G42" s="46" t="str">
        <x:v>开发</x:v>
      </x:c>
      <x:c r="H42" s="47" t="n">
        <x:v>46233</x:v>
      </x:c>
      <x:c r="I42" s="46" t="str">
        <x:v>AUTH-001</x:v>
      </x:c>
      <x:c r="J42" s="46" t="str">
        <x:v>API检查Session和ADMIN_EMAILS</x:v>
      </x:c>
      <x:c r="K42" s="46" t="str">
        <x:v>lib/admin-guard.ts</x:v>
      </x:c>
      <x:c r="L42" s="46" t="str">
        <x:v>扩展角色模型</x:v>
      </x:c>
      <x:c r="M42" s="47" t="n">
        <x:v>46233</x:v>
      </x:c>
      <x:c r="N42" s="48" t="n">
        <x:f>IF(E42="已完成",1,IF(E42="待验收",0.85,IF(E42="进行中",0.5,IF(E42="待外部",0.15,IF(E42="阻塞",0.1,0)))))</x:f>
        <x:v>1</x:v>
      </x:c>
      <x:c r="O42" s="46" t="str"/>
    </x:row>
    <x:row r="43" ht="44" customHeight="1">
      <x:c r="A43" s="46" t="str">
        <x:v>API-006</x:v>
      </x:c>
      <x:c r="B43" s="46" t="str">
        <x:v>API与后端</x:v>
      </x:c>
      <x:c r="C43" s="46" t="str">
        <x:v>游戏API</x:v>
      </x:c>
      <x:c r="D43" s="46" t="str">
        <x:v>游戏列表与创建API</x:v>
      </x:c>
      <x:c r="E43" s="46" t="str">
        <x:v>已完成</x:v>
      </x:c>
      <x:c r="F43" s="46" t="str">
        <x:v>P0</x:v>
      </x:c>
      <x:c r="G43" s="46" t="str">
        <x:v>开发</x:v>
      </x:c>
      <x:c r="H43" s="47" t="n">
        <x:v>46233</x:v>
      </x:c>
      <x:c r="I43" s="46" t="str">
        <x:v>API-005,DB-001</x:v>
      </x:c>
      <x:c r="J43" s="46" t="str">
        <x:v>GET/POST均鉴权并校验输入</x:v>
      </x:c>
      <x:c r="K43" s="46" t="str">
        <x:v>app/api/admin/games/route.ts</x:v>
      </x:c>
      <x:c r="L43" s="46" t="str">
        <x:v>补异常映射与集成测试</x:v>
      </x:c>
      <x:c r="M43" s="47" t="n">
        <x:v>46233</x:v>
      </x:c>
      <x:c r="N43" s="48" t="n">
        <x:f>IF(E43="已完成",1,IF(E43="待验收",0.85,IF(E43="进行中",0.5,IF(E43="待外部",0.15,IF(E43="阻塞",0.1,0)))))</x:f>
        <x:v>1</x:v>
      </x:c>
      <x:c r="O43" s="46" t="str"/>
    </x:row>
    <x:row r="44" ht="44" customHeight="1">
      <x:c r="A44" s="46" t="str">
        <x:v>API-007</x:v>
      </x:c>
      <x:c r="B44" s="46" t="str">
        <x:v>API与后端</x:v>
      </x:c>
      <x:c r="C44" s="46" t="str">
        <x:v>游戏API</x:v>
      </x:c>
      <x:c r="D44" s="46" t="str">
        <x:v>单游戏查询、更新和删除API</x:v>
      </x:c>
      <x:c r="E44" s="46" t="str">
        <x:v>已完成</x:v>
      </x:c>
      <x:c r="F44" s="46" t="str">
        <x:v>P0</x:v>
      </x:c>
      <x:c r="G44" s="46" t="str">
        <x:v>开发</x:v>
      </x:c>
      <x:c r="H44" s="47" t="n">
        <x:v>46233</x:v>
      </x:c>
      <x:c r="I44" s="46" t="str">
        <x:v>API-005,DB-001</x:v>
      </x:c>
      <x:c r="J44" s="46" t="str">
        <x:v>GET/PUT/DELETE可用</x:v>
      </x:c>
      <x:c r="K44" s="46" t="str">
        <x:v>app/api/admin/games/[slug]/route.ts</x:v>
      </x:c>
      <x:c r="L44" s="46" t="str">
        <x:v>处理404和Prisma错误</x:v>
      </x:c>
      <x:c r="M44" s="47" t="n">
        <x:v>46233</x:v>
      </x:c>
      <x:c r="N44" s="48" t="n">
        <x:f>IF(E44="已完成",1,IF(E44="待验收",0.85,IF(E44="进行中",0.5,IF(E44="待外部",0.15,IF(E44="阻塞",0.1,0)))))</x:f>
        <x:v>1</x:v>
      </x:c>
      <x:c r="O44" s="46" t="str"/>
    </x:row>
    <x:row r="45" ht="44" customHeight="1">
      <x:c r="A45" s="46" t="str">
        <x:v>API-008</x:v>
      </x:c>
      <x:c r="B45" s="46" t="str">
        <x:v>API与后端</x:v>
      </x:c>
      <x:c r="C45" s="46" t="str">
        <x:v>FAQ API</x:v>
      </x:c>
      <x:c r="D45" s="46" t="str">
        <x:v>FAQ列表、创建、更新和删除</x:v>
      </x:c>
      <x:c r="E45" s="46" t="str">
        <x:v>已完成</x:v>
      </x:c>
      <x:c r="F45" s="46" t="str">
        <x:v>P1</x:v>
      </x:c>
      <x:c r="G45" s="46" t="str">
        <x:v>开发</x:v>
      </x:c>
      <x:c r="H45" s="47" t="n">
        <x:v>46233</x:v>
      </x:c>
      <x:c r="I45" s="46" t="str">
        <x:v>API-005,DB-001</x:v>
      </x:c>
      <x:c r="J45" s="46" t="str">
        <x:v>FAQ CRUD和长度校验可用</x:v>
      </x:c>
      <x:c r="K45" s="46" t="str">
        <x:v>app/api/admin/games/[slug]/faqs</x:v>
      </x:c>
      <x:c r="L45" s="46" t="str">
        <x:v>校验FAQ属于URL中的游戏</x:v>
      </x:c>
      <x:c r="M45" s="47" t="n">
        <x:v>46233</x:v>
      </x:c>
      <x:c r="N45" s="48" t="n">
        <x:f>IF(E45="已完成",1,IF(E45="待验收",0.85,IF(E45="进行中",0.5,IF(E45="待外部",0.15,IF(E45="阻塞",0.1,0)))))</x:f>
        <x:v>1</x:v>
      </x:c>
      <x:c r="O45" s="46" t="str"/>
    </x:row>
    <x:row r="46" ht="44" customHeight="1">
      <x:c r="A46" s="46" t="str">
        <x:v>API-009</x:v>
      </x:c>
      <x:c r="B46" s="46" t="str">
        <x:v>API与后端</x:v>
      </x:c>
      <x:c r="C46" s="46" t="str">
        <x:v>Features API</x:v>
      </x:c>
      <x:c r="D46" s="46" t="str">
        <x:v>Features按语言upsert/delete</x:v>
      </x:c>
      <x:c r="E46" s="46" t="str">
        <x:v>已完成</x:v>
      </x:c>
      <x:c r="F46" s="46" t="str">
        <x:v>P1</x:v>
      </x:c>
      <x:c r="G46" s="46" t="str">
        <x:v>开发</x:v>
      </x:c>
      <x:c r="H46" s="47" t="n">
        <x:v>46233</x:v>
      </x:c>
      <x:c r="I46" s="46" t="str">
        <x:v>API-005,DB-001</x:v>
      </x:c>
      <x:c r="J46" s="46" t="str">
        <x:v>复合主键幂等保存</x:v>
      </x:c>
      <x:c r="K46" s="46" t="str">
        <x:v>features/[locale]/route.ts</x:v>
      </x:c>
      <x:c r="L46" s="46" t="str">
        <x:v>补内容渲染安全测试</x:v>
      </x:c>
      <x:c r="M46" s="47" t="n">
        <x:v>46233</x:v>
      </x:c>
      <x:c r="N46" s="48" t="n">
        <x:f>IF(E46="已完成",1,IF(E46="待验收",0.85,IF(E46="进行中",0.5,IF(E46="待外部",0.15,IF(E46="阻塞",0.1,0)))))</x:f>
        <x:v>1</x:v>
      </x:c>
      <x:c r="O46" s="46" t="str"/>
    </x:row>
    <x:row r="47" ht="44" customHeight="1">
      <x:c r="A47" s="46" t="str">
        <x:v>API-010</x:v>
      </x:c>
      <x:c r="B47" s="46" t="str">
        <x:v>API与后端</x:v>
      </x:c>
      <x:c r="C47" s="46" t="str">
        <x:v>设置API</x:v>
      </x:c>
      <x:c r="D47" s="46" t="str">
        <x:v>SiteSetting读取与upsert</x:v>
      </x:c>
      <x:c r="E47" s="46" t="str">
        <x:v>已完成</x:v>
      </x:c>
      <x:c r="F47" s="46" t="str">
        <x:v>P1</x:v>
      </x:c>
      <x:c r="G47" s="46" t="str">
        <x:v>开发</x:v>
      </x:c>
      <x:c r="H47" s="47" t="n">
        <x:v>46233</x:v>
      </x:c>
      <x:c r="I47" s="46" t="str">
        <x:v>API-005,DB-001</x:v>
      </x:c>
      <x:c r="J47" s="46" t="str">
        <x:v>仅允许site/social/analytics</x:v>
      </x:c>
      <x:c r="K47" s="46" t="str">
        <x:v>app/api/admin/settings/route.ts</x:v>
      </x:c>
      <x:c r="L47" s="46" t="str">
        <x:v>增加JSON结构校验</x:v>
      </x:c>
      <x:c r="M47" s="47" t="n">
        <x:v>46233</x:v>
      </x:c>
      <x:c r="N47" s="48" t="n">
        <x:f>IF(E47="已完成",1,IF(E47="待验收",0.85,IF(E47="进行中",0.5,IF(E47="待外部",0.15,IF(E47="阻塞",0.1,0)))))</x:f>
        <x:v>1</x:v>
      </x:c>
      <x:c r="O47" s="46" t="str"/>
    </x:row>
    <x:row r="48" ht="44" customHeight="1">
      <x:c r="A48" s="46" t="str">
        <x:v>API-011</x:v>
      </x:c>
      <x:c r="B48" s="46" t="str">
        <x:v>API与后端</x:v>
      </x:c>
      <x:c r="C48" s="46" t="str">
        <x:v>i18n API</x:v>
      </x:c>
      <x:c r="D48" s="46" t="str">
        <x:v>MessageI18n读取与upsert</x:v>
      </x:c>
      <x:c r="E48" s="46" t="str">
        <x:v>已完成</x:v>
      </x:c>
      <x:c r="F48" s="46" t="str">
        <x:v>P1</x:v>
      </x:c>
      <x:c r="G48" s="46" t="str">
        <x:v>开发</x:v>
      </x:c>
      <x:c r="H48" s="47" t="n">
        <x:v>46233</x:v>
      </x:c>
      <x:c r="I48" s="46" t="str">
        <x:v>API-005,DB-001</x:v>
      </x:c>
      <x:c r="J48" s="46" t="str">
        <x:v>支持locale过滤和复合唯一键</x:v>
      </x:c>
      <x:c r="K48" s="46" t="str">
        <x:v>app/api/admin/i18n/route.ts</x:v>
      </x:c>
      <x:c r="L48" s="46" t="str">
        <x:v>增加分页与删除能力</x:v>
      </x:c>
      <x:c r="M48" s="47" t="n">
        <x:v>46233</x:v>
      </x:c>
      <x:c r="N48" s="48" t="n">
        <x:f>IF(E48="已完成",1,IF(E48="待验收",0.85,IF(E48="进行中",0.5,IF(E48="待外部",0.15,IF(E48="阻塞",0.1,0)))))</x:f>
        <x:v>1</x:v>
      </x:c>
      <x:c r="O48" s="46" t="str"/>
    </x:row>
    <x:row r="49" ht="44" customHeight="1">
      <x:c r="A49" s="46" t="str">
        <x:v>API-012</x:v>
      </x:c>
      <x:c r="B49" s="46" t="str">
        <x:v>API与后端</x:v>
      </x:c>
      <x:c r="C49" s="46" t="str">
        <x:v>排行榜</x:v>
      </x:c>
      <x:c r="D49" s="46" t="str">
        <x:v>排行榜查询API</x:v>
      </x:c>
      <x:c r="E49" s="46" t="str">
        <x:v>待开始</x:v>
      </x:c>
      <x:c r="F49" s="46" t="str">
        <x:v>P0</x:v>
      </x:c>
      <x:c r="G49" s="46" t="str">
        <x:v>开发</x:v>
      </x:c>
      <x:c r="H49" s="47" t="n">
        <x:v>46246</x:v>
      </x:c>
      <x:c r="I49" s="46" t="str">
        <x:v>AUTH-007,DB-004</x:v>
      </x:c>
      <x:c r="J49" s="46" t="str">
        <x:v>返回周期榜与用户排名</x:v>
      </x:c>
      <x:c r="K49" s="46" t="str">
        <x:v>middleware已有matcher但无路由</x:v>
      </x:c>
      <x:c r="L49" s="46" t="str">
        <x:v>设计分页、周期和缓存</x:v>
      </x:c>
      <x:c r="M49" s="47" t="n">
        <x:v>46234</x:v>
      </x:c>
      <x:c r="N49" s="48" t="n">
        <x:f>IF(E49="已完成",1,IF(E49="待验收",0.85,IF(E49="进行中",0.5,IF(E49="待外部",0.15,IF(E49="阻塞",0.1,0)))))</x:f>
        <x:v>0</x:v>
      </x:c>
      <x:c r="O49" s="46" t="str"/>
    </x:row>
    <x:row r="50" ht="44" customHeight="1">
      <x:c r="A50" s="46" t="str">
        <x:v>API-013</x:v>
      </x:c>
      <x:c r="B50" s="46" t="str">
        <x:v>API与后端</x:v>
      </x:c>
      <x:c r="C50" s="46" t="str">
        <x:v>积分</x:v>
      </x:c>
      <x:c r="D50" s="46" t="str">
        <x:v>积分流水查询API</x:v>
      </x:c>
      <x:c r="E50" s="46" t="str">
        <x:v>待开始</x:v>
      </x:c>
      <x:c r="F50" s="46" t="str">
        <x:v>P1</x:v>
      </x:c>
      <x:c r="G50" s="46" t="str">
        <x:v>开发</x:v>
      </x:c>
      <x:c r="H50" s="47" t="n">
        <x:v>46247</x:v>
      </x:c>
      <x:c r="I50" s="46" t="str">
        <x:v>AUTH-007</x:v>
      </x:c>
      <x:c r="J50" s="46" t="str">
        <x:v>用户可查看最近积分记录</x:v>
      </x:c>
      <x:c r="K50" s="46" t="str">
        <x:v>数据库已有PointTransaction</x:v>
      </x:c>
      <x:c r="L50" s="46" t="str">
        <x:v>设计只读分页接口</x:v>
      </x:c>
      <x:c r="M50" s="47" t="n">
        <x:v>46234</x:v>
      </x:c>
      <x:c r="N50" s="48" t="n">
        <x:f>IF(E50="已完成",1,IF(E50="待验收",0.85,IF(E50="进行中",0.5,IF(E50="待外部",0.15,IF(E50="阻塞",0.1,0)))))</x:f>
        <x:v>0</x:v>
      </x:c>
      <x:c r="O50" s="46" t="str"/>
    </x:row>
    <x:row r="51" ht="44" customHeight="1">
      <x:c r="A51" s="46" t="str">
        <x:v>API-014</x:v>
      </x:c>
      <x:c r="B51" s="46" t="str">
        <x:v>API与后端</x:v>
      </x:c>
      <x:c r="C51" s="46" t="str">
        <x:v>安全</x:v>
      </x:c>
      <x:c r="D51" s="46" t="str">
        <x:v>积分并发上限原子化</x:v>
      </x:c>
      <x:c r="E51" s="46" t="str">
        <x:v>待开始</x:v>
      </x:c>
      <x:c r="F51" s="46" t="str">
        <x:v>P0</x:v>
      </x:c>
      <x:c r="G51" s="46" t="str">
        <x:v>开发</x:v>
      </x:c>
      <x:c r="H51" s="47" t="n">
        <x:v>46243</x:v>
      </x:c>
      <x:c r="I51" s="46" t="str">
        <x:v>API-003,DB-004</x:v>
      </x:c>
      <x:c r="J51" s="46" t="str">
        <x:v>并发请求不能突破每日上限</x:v>
      </x:c>
      <x:c r="K51" s="46" t="str">
        <x:v>aggregate在事务外存在竞态</x:v>
      </x:c>
      <x:c r="L51" s="46" t="str">
        <x:v>事务内锁定或设计唯一事件</x:v>
      </x:c>
      <x:c r="M51" s="47" t="n">
        <x:v>46234</x:v>
      </x:c>
      <x:c r="N51" s="48" t="n">
        <x:f>IF(E51="已完成",1,IF(E51="待验收",0.85,IF(E51="进行中",0.5,IF(E51="待外部",0.15,IF(E51="阻塞",0.1,0)))))</x:f>
        <x:v>0</x:v>
      </x:c>
      <x:c r="O51" s="46" t="str"/>
    </x:row>
    <x:row r="52" ht="44" customHeight="1">
      <x:c r="A52" s="46" t="str">
        <x:v>API-015</x:v>
      </x:c>
      <x:c r="B52" s="46" t="str">
        <x:v>API与后端</x:v>
      </x:c>
      <x:c r="C52" s="46" t="str">
        <x:v>安全</x:v>
      </x:c>
      <x:c r="D52" s="46" t="str">
        <x:v>API限流、审计与错误规范</x:v>
      </x:c>
      <x:c r="E52" s="46" t="str">
        <x:v>待开始</x:v>
      </x:c>
      <x:c r="F52" s="46" t="str">
        <x:v>P1</x:v>
      </x:c>
      <x:c r="G52" s="46" t="str">
        <x:v>开发</x:v>
      </x:c>
      <x:c r="H52" s="47" t="n">
        <x:v>46252</x:v>
      </x:c>
      <x:c r="I52" s="46" t="str">
        <x:v>API-012</x:v>
      </x:c>
      <x:c r="J52" s="46" t="str">
        <x:v>关键写接口限流且错误格式统一</x:v>
      </x:c>
      <x:c r="K52" s="46" t="str">
        <x:v>当前无统一限流和日志</x:v>
      </x:c>
      <x:c r="L52" s="46" t="str">
        <x:v>选定Vercel/Upstash方案</x:v>
      </x:c>
      <x:c r="M52" s="47" t="n">
        <x:v>46234</x:v>
      </x:c>
      <x:c r="N52" s="48" t="n">
        <x:f>IF(E52="已完成",1,IF(E52="待验收",0.85,IF(E52="进行中",0.5,IF(E52="待外部",0.15,IF(E52="阻塞",0.1,0)))))</x:f>
        <x:v>0</x:v>
      </x:c>
      <x:c r="O52" s="46" t="str"/>
    </x:row>
    <x:row r="53" ht="44" customHeight="1">
      <x:c r="A53" s="46" t="str">
        <x:v>API-016</x:v>
      </x:c>
      <x:c r="B53" s="46" t="str">
        <x:v>API与后端</x:v>
      </x:c>
      <x:c r="C53" s="46" t="str">
        <x:v>分析</x:v>
      </x:c>
      <x:c r="D53" s="46" t="str">
        <x:v>游戏启动与转化事件API</x:v>
      </x:c>
      <x:c r="E53" s="46" t="str">
        <x:v>待开始</x:v>
      </x:c>
      <x:c r="F53" s="46" t="str">
        <x:v>P2</x:v>
      </x:c>
      <x:c r="G53" s="46" t="str">
        <x:v>开发+数据</x:v>
      </x:c>
      <x:c r="H53" s="47" t="n">
        <x:v>46256</x:v>
      </x:c>
      <x:c r="I53" s="46" t="str">
        <x:v>FE-010</x:v>
      </x:c>
      <x:c r="J53" s="46" t="str">
        <x:v>记录game_start、game_end、CTA事件</x:v>
      </x:c>
      <x:c r="K53" s="46" t="str">
        <x:v>目前只有本地积分事件</x:v>
      </x:c>
      <x:c r="L53" s="46" t="str">
        <x:v>定义事件Schema</x:v>
      </x:c>
      <x:c r="M53" s="47" t="n">
        <x:v>46234</x:v>
      </x:c>
      <x:c r="N53" s="48" t="n">
        <x:f>IF(E53="已完成",1,IF(E53="待验收",0.85,IF(E53="进行中",0.5,IF(E53="待外部",0.15,IF(E53="阻塞",0.1,0)))))</x:f>
        <x:v>0</x:v>
      </x:c>
      <x:c r="O53" s="46" t="str"/>
    </x:row>
    <x:row r="54" ht="44" customHeight="1">
      <x:c r="A54" s="46" t="str">
        <x:v>DB-001</x:v>
      </x:c>
      <x:c r="B54" s="46" t="str">
        <x:v>数据库</x:v>
      </x:c>
      <x:c r="C54" s="46" t="str">
        <x:v>模型</x:v>
      </x:c>
      <x:c r="D54" s="46" t="str">
        <x:v>Prisma完整Schema</x:v>
      </x:c>
      <x:c r="E54" s="46" t="str">
        <x:v>已完成</x:v>
      </x:c>
      <x:c r="F54" s="46" t="str">
        <x:v>P0</x:v>
      </x:c>
      <x:c r="G54" s="46" t="str">
        <x:v>开发</x:v>
      </x:c>
      <x:c r="H54" s="47" t="n">
        <x:v>46233</x:v>
      </x:c>
      <x:c r="I54" s="46" t="str">
        <x:v>无</x:v>
      </x:c>
      <x:c r="J54" s="46" t="str">
        <x:v>Auth、积分和后台模型定义完成</x:v>
      </x:c>
      <x:c r="K54" s="46" t="str">
        <x:v>prisma/schema.prisma</x:v>
      </x:c>
      <x:c r="L54" s="46" t="str">
        <x:v>生成正式migration</x:v>
      </x:c>
      <x:c r="M54" s="47" t="n">
        <x:v>46233</x:v>
      </x:c>
      <x:c r="N54" s="48" t="n">
        <x:f>IF(E54="已完成",1,IF(E54="待验收",0.85,IF(E54="进行中",0.5,IF(E54="待外部",0.15,IF(E54="阻塞",0.1,0)))))</x:f>
        <x:v>1</x:v>
      </x:c>
      <x:c r="O54" s="46" t="str"/>
    </x:row>
    <x:row r="55" ht="44" customHeight="1">
      <x:c r="A55" s="46" t="str">
        <x:v>DB-002</x:v>
      </x:c>
      <x:c r="B55" s="46" t="str">
        <x:v>数据库</x:v>
      </x:c>
      <x:c r="C55" s="46" t="str">
        <x:v>基础设施</x:v>
      </x:c>
      <x:c r="D55" s="46" t="str">
        <x:v>创建Neon项目</x:v>
      </x:c>
      <x:c r="E55" s="46" t="str">
        <x:v>已完成</x:v>
      </x:c>
      <x:c r="F55" s="46" t="str">
        <x:v>P0</x:v>
      </x:c>
      <x:c r="G55" s="46" t="str">
        <x:v>你</x:v>
      </x:c>
      <x:c r="H55" s="47" t="n">
        <x:v>46236</x:v>
      </x:c>
      <x:c r="I55" s="46" t="str">
        <x:v>需要Neon账号</x:v>
      </x:c>
      <x:c r="J55" s="46" t="str">
        <x:v>取得开发与生产连接串</x:v>
      </x:c>
      <x:c r="K55" s="46" t="str">
        <x:v>Neon项目已创建，连接池连接串已用于本地验证</x:v>
      </x:c>
      <x:c r="L55" s="46" t="str">
        <x:v>补充Preview/Production连接配置</x:v>
      </x:c>
      <x:c r="M55" s="47" t="n">
        <x:v>46234</x:v>
      </x:c>
      <x:c r="N55" s="48" t="n">
        <x:v>1</x:v>
      </x:c>
      <x:c r="O55" s="46" t="str"/>
    </x:row>
    <x:row r="56" ht="44" customHeight="1">
      <x:c r="A56" s="46" t="str">
        <x:v>DB-003</x:v>
      </x:c>
      <x:c r="B56" s="46" t="str">
        <x:v>数据库</x:v>
      </x:c>
      <x:c r="C56" s="46" t="str">
        <x:v>配置</x:v>
      </x:c>
      <x:c r="D56" s="46" t="str">
        <x:v>配置本地/Vercel DATABASE_URL</x:v>
      </x:c>
      <x:c r="E56" s="46" t="str">
        <x:v>进行中</x:v>
      </x:c>
      <x:c r="F56" s="46" t="str">
        <x:v>P0</x:v>
      </x:c>
      <x:c r="G56" s="46" t="str">
        <x:v>你</x:v>
      </x:c>
      <x:c r="H56" s="47" t="n">
        <x:v>46236</x:v>
      </x:c>
      <x:c r="I56" s="46" t="str">
        <x:v>DB-002</x:v>
      </x:c>
      <x:c r="J56" s="46" t="str">
        <x:v>Development、Preview、Production均可连接</x:v>
      </x:c>
      <x:c r="K56" s="46" t="str">
        <x:v>本地DATABASE_URL已配置；OAuth账户与Session已写入Neon</x:v>
      </x:c>
      <x:c r="L56" s="46" t="str">
        <x:v>配置Vercel Preview与Production变量并验证</x:v>
      </x:c>
      <x:c r="M56" s="47" t="n">
        <x:v>46234</x:v>
      </x:c>
      <x:c r="N56" s="48" t="n">
        <x:v>0.55</x:v>
      </x:c>
      <x:c r="O56" s="46" t="str"/>
    </x:row>
    <x:row r="57" ht="44" customHeight="1">
      <x:c r="A57" s="46" t="str">
        <x:v>DB-004</x:v>
      </x:c>
      <x:c r="B57" s="46" t="str">
        <x:v>数据库</x:v>
      </x:c>
      <x:c r="C57" s="46" t="str">
        <x:v>迁移</x:v>
      </x:c>
      <x:c r="D57" s="46" t="str">
        <x:v>创建首个Prisma migration</x:v>
      </x:c>
      <x:c r="E57" s="46" t="str">
        <x:v>待开始</x:v>
      </x:c>
      <x:c r="F57" s="46" t="str">
        <x:v>P0</x:v>
      </x:c>
      <x:c r="G57" s="46" t="str">
        <x:v>开发</x:v>
      </x:c>
      <x:c r="H57" s="47" t="n">
        <x:v>46237</x:v>
      </x:c>
      <x:c r="I57" s="46" t="str">
        <x:v>DB-002</x:v>
      </x:c>
      <x:c r="J57" s="46" t="str">
        <x:v>prisma/migrations已提交且可deploy</x:v>
      </x:c>
      <x:c r="K57" s="46" t="str">
        <x:v>当前仓库没有migrations目录</x:v>
      </x:c>
      <x:c r="L57" s="46" t="str">
        <x:v>在开发库生成并审阅SQL</x:v>
      </x:c>
      <x:c r="M57" s="47" t="n">
        <x:v>46234</x:v>
      </x:c>
      <x:c r="N57" s="48" t="n">
        <x:f>IF(E57="已完成",1,IF(E57="待验收",0.85,IF(E57="进行中",0.5,IF(E57="待外部",0.15,IF(E57="阻塞",0.1,0)))))</x:f>
        <x:v>0</x:v>
      </x:c>
      <x:c r="O57" s="46" t="str"/>
    </x:row>
    <x:row r="58" ht="44" customHeight="1">
      <x:c r="A58" s="46" t="str">
        <x:v>DB-005</x:v>
      </x:c>
      <x:c r="B58" s="46" t="str">
        <x:v>数据库</x:v>
      </x:c>
      <x:c r="C58" s="46" t="str">
        <x:v>初始化</x:v>
      </x:c>
      <x:c r="D58" s="46" t="str">
        <x:v>编写游戏、设置和i18n seed</x:v>
      </x:c>
      <x:c r="E58" s="46" t="str">
        <x:v>待开始</x:v>
      </x:c>
      <x:c r="F58" s="46" t="str">
        <x:v>P0</x:v>
      </x:c>
      <x:c r="G58" s="46" t="str">
        <x:v>开发</x:v>
      </x:c>
      <x:c r="H58" s="47" t="n">
        <x:v>46239</x:v>
      </x:c>
      <x:c r="I58" s="46" t="str">
        <x:v>DB-004</x:v>
      </x:c>
      <x:c r="J58" s="46" t="str">
        <x:v>现有10游戏和基础配置可重复导入</x:v>
      </x:c>
      <x:c r="K58" s="46" t="str">
        <x:v>当前没有seed脚本</x:v>
      </x:c>
      <x:c r="L58" s="46" t="str">
        <x:v>实现幂等upsert seed</x:v>
      </x:c>
      <x:c r="M58" s="47" t="n">
        <x:v>46234</x:v>
      </x:c>
      <x:c r="N58" s="48" t="n">
        <x:f>IF(E58="已完成",1,IF(E58="待验收",0.85,IF(E58="进行中",0.5,IF(E58="待外部",0.15,IF(E58="阻塞",0.1,0)))))</x:f>
        <x:v>0</x:v>
      </x:c>
      <x:c r="O58" s="46" t="str"/>
    </x:row>
    <x:row r="59" ht="44" customHeight="1">
      <x:c r="A59" s="46" t="str">
        <x:v>DB-006</x:v>
      </x:c>
      <x:c r="B59" s="46" t="str">
        <x:v>数据库</x:v>
      </x:c>
      <x:c r="C59" s="46" t="str">
        <x:v>生产发布</x:v>
      </x:c>
      <x:c r="D59" s="46" t="str">
        <x:v>Preview执行migration和seed</x:v>
      </x:c>
      <x:c r="E59" s="46" t="str">
        <x:v>阻塞</x:v>
      </x:c>
      <x:c r="F59" s="46" t="str">
        <x:v>P0</x:v>
      </x:c>
      <x:c r="G59" s="46" t="str">
        <x:v>开发</x:v>
      </x:c>
      <x:c r="H59" s="47" t="n">
        <x:v>46240</x:v>
      </x:c>
      <x:c r="I59" s="46" t="str">
        <x:v>DB-003,DB-004,DB-005</x:v>
      </x:c>
      <x:c r="J59" s="46" t="str">
        <x:v>Preview后台可完整操作</x:v>
      </x:c>
      <x:c r="K59" s="46" t="str">
        <x:v>等待数据库环境</x:v>
      </x:c>
      <x:c r="L59" s="46" t="str">
        <x:v>完成后进行后台E2E</x:v>
      </x:c>
      <x:c r="M59" s="47" t="n">
        <x:v>46234</x:v>
      </x:c>
      <x:c r="N59" s="48" t="n">
        <x:f>IF(E59="已完成",1,IF(E59="待验收",0.85,IF(E59="进行中",0.5,IF(E59="待外部",0.15,IF(E59="阻塞",0.1,0)))))</x:f>
        <x:v>0.1</x:v>
      </x:c>
      <x:c r="O59" s="46" t="str"/>
    </x:row>
    <x:row r="60" ht="44" customHeight="1">
      <x:c r="A60" s="46" t="str">
        <x:v>DB-007</x:v>
      </x:c>
      <x:c r="B60" s="46" t="str">
        <x:v>数据库</x:v>
      </x:c>
      <x:c r="C60" s="46" t="str">
        <x:v>生产发布</x:v>
      </x:c>
      <x:c r="D60" s="46" t="str">
        <x:v>Production执行migrate deploy</x:v>
      </x:c>
      <x:c r="E60" s="46" t="str">
        <x:v>阻塞</x:v>
      </x:c>
      <x:c r="F60" s="46" t="str">
        <x:v>P0</x:v>
      </x:c>
      <x:c r="G60" s="46" t="str">
        <x:v>开发</x:v>
      </x:c>
      <x:c r="H60" s="47" t="n">
        <x:v>46242</x:v>
      </x:c>
      <x:c r="I60" s="46" t="str">
        <x:v>DB-006</x:v>
      </x:c>
      <x:c r="J60" s="46" t="str">
        <x:v>生产表结构与版本一致</x:v>
      </x:c>
      <x:c r="K60" s="46" t="str">
        <x:v>等待Preview验收</x:v>
      </x:c>
      <x:c r="L60" s="46" t="str">
        <x:v>准备备份与回滚记录</x:v>
      </x:c>
      <x:c r="M60" s="47" t="n">
        <x:v>46234</x:v>
      </x:c>
      <x:c r="N60" s="48" t="n">
        <x:f>IF(E60="已完成",1,IF(E60="待验收",0.85,IF(E60="进行中",0.5,IF(E60="待外部",0.15,IF(E60="阻塞",0.1,0)))))</x:f>
        <x:v>0.1</x:v>
      </x:c>
      <x:c r="O60" s="46" t="str"/>
    </x:row>
    <x:row r="61" ht="44" customHeight="1">
      <x:c r="A61" s="46" t="str">
        <x:v>DB-008</x:v>
      </x:c>
      <x:c r="B61" s="46" t="str">
        <x:v>数据库</x:v>
      </x:c>
      <x:c r="C61" s="46" t="str">
        <x:v>运维</x:v>
      </x:c>
      <x:c r="D61" s="46" t="str">
        <x:v>数据库备份、监控与容量告警</x:v>
      </x:c>
      <x:c r="E61" s="46" t="str">
        <x:v>待开始</x:v>
      </x:c>
      <x:c r="F61" s="46" t="str">
        <x:v>P2</x:v>
      </x:c>
      <x:c r="G61" s="46" t="str">
        <x:v>开发+运维</x:v>
      </x:c>
      <x:c r="H61" s="47" t="n">
        <x:v>46254</x:v>
      </x:c>
      <x:c r="I61" s="46" t="str">
        <x:v>DB-007</x:v>
      </x:c>
      <x:c r="J61" s="46" t="str">
        <x:v>备份策略、慢查询和容量告警可用</x:v>
      </x:c>
      <x:c r="K61" s="46" t="str">
        <x:v>尚未建立运维基线</x:v>
      </x:c>
      <x:c r="L61" s="46" t="str">
        <x:v>配置Neon监控与恢复演练</x:v>
      </x:c>
      <x:c r="M61" s="47" t="n">
        <x:v>46234</x:v>
      </x:c>
      <x:c r="N61" s="48" t="n">
        <x:f>IF(E61="已完成",1,IF(E61="待验收",0.85,IF(E61="进行中",0.5,IF(E61="待外部",0.15,IF(E61="阻塞",0.1,0)))))</x:f>
        <x:v>0</x:v>
      </x:c>
      <x:c r="O61" s="46" t="str"/>
    </x:row>
    <x:row r="62" ht="44" customHeight="1">
      <x:c r="A62" s="46" t="str">
        <x:v>AUTH-001</x:v>
      </x:c>
      <x:c r="B62" s="46" t="str">
        <x:v>登录与积分</x:v>
      </x:c>
      <x:c r="C62" s="46" t="str">
        <x:v>Auth.js</x:v>
      </x:c>
      <x:c r="D62" s="46" t="str">
        <x:v>Auth.js v5 + Prisma Adapter骨架</x:v>
      </x:c>
      <x:c r="E62" s="46" t="str">
        <x:v>已完成</x:v>
      </x:c>
      <x:c r="F62" s="46" t="str">
        <x:v>P0</x:v>
      </x:c>
      <x:c r="G62" s="46" t="str">
        <x:v>开发</x:v>
      </x:c>
      <x:c r="H62" s="47" t="n">
        <x:v>46233</x:v>
      </x:c>
      <x:c r="I62" s="46" t="str">
        <x:v>DB-001</x:v>
      </x:c>
      <x:c r="J62" s="46" t="str">
        <x:v>数据库Session配置完成</x:v>
      </x:c>
      <x:c r="K62" s="46" t="str">
        <x:v>Auth.js v5 + Prisma Adapter + Neon数据库Session实测通过</x:v>
      </x:c>
      <x:c r="L62" s="46" t="str">
        <x:v>补生产环境变量并执行部署验收</x:v>
      </x:c>
      <x:c r="M62" s="47" t="n">
        <x:v>46234</x:v>
      </x:c>
      <x:c r="N62" s="48" t="n">
        <x:v>1</x:v>
      </x:c>
      <x:c r="O62" s="46" t="str"/>
    </x:row>
    <x:row r="63" ht="44" customHeight="1">
      <x:c r="A63" s="46" t="str">
        <x:v>AUTH-002</x:v>
      </x:c>
      <x:c r="B63" s="46" t="str">
        <x:v>登录与积分</x:v>
      </x:c>
      <x:c r="C63" s="46" t="str">
        <x:v>前端登录</x:v>
      </x:c>
      <x:c r="D63" s="46" t="str">
        <x:v>Google/Facebook/X客户端登录脚手架</x:v>
      </x:c>
      <x:c r="E63" s="46" t="str">
        <x:v>已完成</x:v>
      </x:c>
      <x:c r="F63" s="46" t="str">
        <x:v>P1</x:v>
      </x:c>
      <x:c r="G63" s="46" t="str">
        <x:v>开发</x:v>
      </x:c>
      <x:c r="H63" s="47" t="n">
        <x:v>46232</x:v>
      </x:c>
      <x:c r="I63" s="46" t="str">
        <x:v>FE-003</x:v>
      </x:c>
      <x:c r="J63" s="46" t="str">
        <x:v>按钮和回调流程存在</x:v>
      </x:c>
      <x:c r="K63" s="46" t="str">
        <x:v>登录弹窗统一为Google、Facebook、X Auth.js真实登录</x:v>
      </x:c>
      <x:c r="L63" s="46" t="str">
        <x:v>补充取消与错误提示场景</x:v>
      </x:c>
      <x:c r="M63" s="47" t="n">
        <x:v>46234</x:v>
      </x:c>
      <x:c r="N63" s="48" t="n">
        <x:v>1</x:v>
      </x:c>
      <x:c r="O63" s="46" t="str"/>
    </x:row>
    <x:row r="64" ht="44" customHeight="1">
      <x:c r="A64" s="46" t="str">
        <x:v>AUTH-003</x:v>
      </x:c>
      <x:c r="B64" s="46" t="str">
        <x:v>登录与积分</x:v>
      </x:c>
      <x:c r="C64" s="46" t="str">
        <x:v>凭证</x:v>
      </x:c>
      <x:c r="D64" s="46" t="str">
        <x:v>申请Google/Facebook/X OAuth凭证</x:v>
      </x:c>
      <x:c r="E64" s="46" t="str">
        <x:v>进行中</x:v>
      </x:c>
      <x:c r="F64" s="46" t="str">
        <x:v>P0</x:v>
      </x:c>
      <x:c r="G64" s="46" t="str">
        <x:v>你</x:v>
      </x:c>
      <x:c r="H64" s="47" t="n">
        <x:v>46238</x:v>
      </x:c>
      <x:c r="I64" s="46" t="str">
        <x:v>域名迁移完成</x:v>
      </x:c>
      <x:c r="J64" s="46" t="str">
        <x:v>三平台生产回调地址审核通过</x:v>
      </x:c>
      <x:c r="K64" s="46" t="str">
        <x:v>三平台客户端凭证已配置并完成本地登录；Meta账号停用需复核应用状态</x:v>
      </x:c>
      <x:c r="L64" s="46" t="str">
        <x:v>恢复Meta账号，复核三平台生产回调与应用状态</x:v>
      </x:c>
      <x:c r="M64" s="47" t="n">
        <x:v>46234</x:v>
      </x:c>
      <x:c r="N64" s="48" t="n">
        <x:v>0.75</x:v>
      </x:c>
      <x:c r="O64" s="46" t="str"/>
    </x:row>
    <x:row r="65" ht="44" customHeight="1">
      <x:c r="A65" s="46" t="str">
        <x:v>AUTH-004</x:v>
      </x:c>
      <x:c r="B65" s="46" t="str">
        <x:v>登录与积分</x:v>
      </x:c>
      <x:c r="C65" s="46" t="str">
        <x:v>环境配置</x:v>
      </x:c>
      <x:c r="D65" s="46" t="str">
        <x:v>配置AUTH_SECRET、Provider与ADMIN_EMAILS</x:v>
      </x:c>
      <x:c r="E65" s="46" t="str">
        <x:v>进行中</x:v>
      </x:c>
      <x:c r="F65" s="46" t="str">
        <x:v>P0</x:v>
      </x:c>
      <x:c r="G65" s="46" t="str">
        <x:v>你</x:v>
      </x:c>
      <x:c r="H65" s="47" t="n">
        <x:v>46238</x:v>
      </x:c>
      <x:c r="I65" s="46" t="str">
        <x:v>AUTH-003,DB-003</x:v>
      </x:c>
      <x:c r="J65" s="46" t="str">
        <x:v>Preview与Production变量完整</x:v>
      </x:c>
      <x:c r="K65" s="46" t="str">
        <x:v>本地AUTH_SECRET、Google、Facebook、X及Neon变量已验证</x:v>
      </x:c>
      <x:c r="L65" s="46" t="str">
        <x:v>安全配置Preview/Production变量，不记录Secret值</x:v>
      </x:c>
      <x:c r="M65" s="47" t="n">
        <x:v>46234</x:v>
      </x:c>
      <x:c r="N65" s="48" t="n">
        <x:v>0.65</x:v>
      </x:c>
      <x:c r="O65" s="46" t="str"/>
    </x:row>
    <x:row r="66" ht="44" customHeight="1">
      <x:c r="A66" s="46" t="str">
        <x:v>AUTH-005</x:v>
      </x:c>
      <x:c r="B66" s="46" t="str">
        <x:v>登录与积分</x:v>
      </x:c>
      <x:c r="C66" s="46" t="str">
        <x:v>真实登录</x:v>
      </x:c>
      <x:c r="D66" s="46" t="str">
        <x:v>LoginModal/Header切换Auth.js Session</x:v>
      </x:c>
      <x:c r="E66" s="46" t="str">
        <x:v>已完成</x:v>
      </x:c>
      <x:c r="F66" s="46" t="str">
        <x:v>P0</x:v>
      </x:c>
      <x:c r="G66" s="46" t="str">
        <x:v>开发</x:v>
      </x:c>
      <x:c r="H66" s="47" t="n">
        <x:v>46241</x:v>
      </x:c>
      <x:c r="I66" s="46" t="str">
        <x:v>AUTH-004</x:v>
      </x:c>
      <x:c r="J66" s="46" t="str">
        <x:v>UI登录状态与服务端Session一致</x:v>
      </x:c>
      <x:c r="K66" s="46" t="str">
        <x:v>LoginModal/Header已切换signIn、useSession、signOut；三平台登录成功</x:v>
      </x:c>
      <x:c r="L66" s="46" t="str">
        <x:v>执行生产环境登录与退出验收</x:v>
      </x:c>
      <x:c r="M66" s="47" t="n">
        <x:v>46234</x:v>
      </x:c>
      <x:c r="N66" s="48" t="n">
        <x:v>1</x:v>
      </x:c>
      <x:c r="O66" s="46" t="str"/>
    </x:row>
    <x:row r="67" ht="44" customHeight="1">
      <x:c r="A67" s="46" t="str">
        <x:v>AUTH-006</x:v>
      </x:c>
      <x:c r="B67" s="46" t="str">
        <x:v>登录与积分</x:v>
      </x:c>
      <x:c r="C67" s="46" t="str">
        <x:v>后台权限</x:v>
      </x:c>
      <x:c r="D67" s="46" t="str">
        <x:v>生产管理员白名单联调</x:v>
      </x:c>
      <x:c r="E67" s="46" t="str">
        <x:v>阻塞</x:v>
      </x:c>
      <x:c r="F67" s="46" t="str">
        <x:v>P0</x:v>
      </x:c>
      <x:c r="G67" s="46" t="str">
        <x:v>开发+你</x:v>
      </x:c>
      <x:c r="H67" s="47" t="n">
        <x:v>46242</x:v>
      </x:c>
      <x:c r="I67" s="46" t="str">
        <x:v>AUTH-004,AUTH-005</x:v>
      </x:c>
      <x:c r="J67" s="46" t="str">
        <x:v>管理员可进，普通用户403</x:v>
      </x:c>
      <x:c r="K67" s="46" t="str">
        <x:v>守卫代码已完成但未联调</x:v>
      </x:c>
      <x:c r="L67" s="46" t="str">
        <x:v>用两个账号做权限测试</x:v>
      </x:c>
      <x:c r="M67" s="47" t="n">
        <x:v>46234</x:v>
      </x:c>
      <x:c r="N67" s="48" t="n">
        <x:f>IF(E67="已完成",1,IF(E67="待验收",0.85,IF(E67="进行中",0.5,IF(E67="待外部",0.15,IF(E67="阻塞",0.1,0)))))</x:f>
        <x:v>0.1</x:v>
      </x:c>
      <x:c r="O67" s="46" t="str"/>
    </x:row>
    <x:row r="68" ht="44" customHeight="1">
      <x:c r="A68" s="46" t="str">
        <x:v>AUTH-007</x:v>
      </x:c>
      <x:c r="B68" s="46" t="str">
        <x:v>登录与积分</x:v>
      </x:c>
      <x:c r="C68" s="46" t="str">
        <x:v>可信积分</x:v>
      </x:c>
      <x:c r="D68" s="46" t="str">
        <x:v>awardPoints切换服务端API</x:v>
      </x:c>
      <x:c r="E68" s="46" t="str">
        <x:v>阻塞</x:v>
      </x:c>
      <x:c r="F68" s="46" t="str">
        <x:v>P0</x:v>
      </x:c>
      <x:c r="G68" s="46" t="str">
        <x:v>开发</x:v>
      </x:c>
      <x:c r="H68" s="47" t="n">
        <x:v>46244</x:v>
      </x:c>
      <x:c r="I68" s="46" t="str">
        <x:v>AUTH-005,DB-006</x:v>
      </x:c>
      <x:c r="J68" s="46" t="str">
        <x:v>积分真值来自数据库并跨设备一致</x:v>
      </x:c>
      <x:c r="K68" s="46" t="str">
        <x:v>当前只写localStorage</x:v>
      </x:c>
      <x:c r="L68" s="46" t="str">
        <x:v>实现GET同步和POST发放</x:v>
      </x:c>
      <x:c r="M68" s="47" t="n">
        <x:v>46234</x:v>
      </x:c>
      <x:c r="N68" s="48" t="n">
        <x:f>IF(E68="已完成",1,IF(E68="待验收",0.85,IF(E68="进行中",0.5,IF(E68="待外部",0.15,IF(E68="阻塞",0.1,0)))))</x:f>
        <x:v>0.1</x:v>
      </x:c>
      <x:c r="O68" s="46" t="str"/>
    </x:row>
    <x:row r="69" ht="44" customHeight="1">
      <x:c r="A69" s="46" t="str">
        <x:v>AUTH-008</x:v>
      </x:c>
      <x:c r="B69" s="46" t="str">
        <x:v>登录与积分</x:v>
      </x:c>
      <x:c r="C69" s="46" t="str">
        <x:v>每日奖励</x:v>
      </x:c>
      <x:c r="D69" s="46" t="str">
        <x:v>DailyBonus接入数据库去重</x:v>
      </x:c>
      <x:c r="E69" s="46" t="str">
        <x:v>待开始</x:v>
      </x:c>
      <x:c r="F69" s="46" t="str">
        <x:v>P1</x:v>
      </x:c>
      <x:c r="G69" s="46" t="str">
        <x:v>开发</x:v>
      </x:c>
      <x:c r="H69" s="47" t="n">
        <x:v>46245</x:v>
      </x:c>
      <x:c r="I69" s="46" t="str">
        <x:v>AUTH-007</x:v>
      </x:c>
      <x:c r="J69" s="46" t="str">
        <x:v>同一用户每日最多一次奖励</x:v>
      </x:c>
      <x:c r="K69" s="46" t="str">
        <x:v>DailyBonus模型未使用</x:v>
      </x:c>
      <x:c r="L69" s="46" t="str">
        <x:v>设计时区与幂等事务</x:v>
      </x:c>
      <x:c r="M69" s="47" t="n">
        <x:v>46234</x:v>
      </x:c>
      <x:c r="N69" s="48" t="n">
        <x:f>IF(E69="已完成",1,IF(E69="待验收",0.85,IF(E69="进行中",0.5,IF(E69="待外部",0.15,IF(E69="阻塞",0.1,0)))))</x:f>
        <x:v>0</x:v>
      </x:c>
      <x:c r="O69" s="46" t="str"/>
    </x:row>
    <x:row r="70" ht="44" customHeight="1">
      <x:c r="A70" s="46" t="str">
        <x:v>AUTH-009</x:v>
      </x:c>
      <x:c r="B70" s="46" t="str">
        <x:v>登录与积分</x:v>
      </x:c>
      <x:c r="C70" s="46" t="str">
        <x:v>排行榜</x:v>
      </x:c>
      <x:c r="D70" s="46" t="str">
        <x:v>排行榜页面与个人排名</x:v>
      </x:c>
      <x:c r="E70" s="46" t="str">
        <x:v>待开始</x:v>
      </x:c>
      <x:c r="F70" s="46" t="str">
        <x:v>P1</x:v>
      </x:c>
      <x:c r="G70" s="46" t="str">
        <x:v>开发</x:v>
      </x:c>
      <x:c r="H70" s="47" t="n">
        <x:v>46248</x:v>
      </x:c>
      <x:c r="I70" s="46" t="str">
        <x:v>API-012</x:v>
      </x:c>
      <x:c r="J70" s="46" t="str">
        <x:v>用户可查看榜单和自己的位置</x:v>
      </x:c>
      <x:c r="K70" s="46" t="str">
        <x:v>目前无页面</x:v>
      </x:c>
      <x:c r="L70" s="46" t="str">
        <x:v>设计周榜/月榜UI</x:v>
      </x:c>
      <x:c r="M70" s="47" t="n">
        <x:v>46234</x:v>
      </x:c>
      <x:c r="N70" s="48" t="n">
        <x:f>IF(E70="已完成",1,IF(E70="待验收",0.85,IF(E70="进行中",0.5,IF(E70="待外部",0.15,IF(E70="阻塞",0.1,0)))))</x:f>
        <x:v>0</x:v>
      </x:c>
      <x:c r="O70" s="46" t="str"/>
    </x:row>
    <x:row r="71" ht="44" customHeight="1">
      <x:c r="A71" s="46" t="str">
        <x:v>AUTH-010</x:v>
      </x:c>
      <x:c r="B71" s="46" t="str">
        <x:v>登录与积分</x:v>
      </x:c>
      <x:c r="C71" s="46" t="str">
        <x:v>清理</x:v>
      </x:c>
      <x:c r="D71" s="46" t="str">
        <x:v>生产移除Mock登录与本地积分真值</x:v>
      </x:c>
      <x:c r="E71" s="46" t="str">
        <x:v>待开始</x:v>
      </x:c>
      <x:c r="F71" s="46" t="str">
        <x:v>P0</x:v>
      </x:c>
      <x:c r="G71" s="46" t="str">
        <x:v>开发</x:v>
      </x:c>
      <x:c r="H71" s="47" t="n">
        <x:v>46246</x:v>
      </x:c>
      <x:c r="I71" s="46" t="str">
        <x:v>AUTH-007</x:v>
      </x:c>
      <x:c r="J71" s="46" t="str">
        <x:v>生产无demo用户且刷新积分不回退</x:v>
      </x:c>
      <x:c r="K71" s="46" t="str">
        <x:v>mock兜底仍会在缺配置时启用</x:v>
      </x:c>
      <x:c r="L71" s="46" t="str">
        <x:v>仅开发环境允许mock</x:v>
      </x:c>
      <x:c r="M71" s="47" t="n">
        <x:v>46234</x:v>
      </x:c>
      <x:c r="N71" s="48" t="n">
        <x:f>IF(E71="已完成",1,IF(E71="待验收",0.85,IF(E71="进行中",0.5,IF(E71="待外部",0.15,IF(E71="阻塞",0.1,0)))))</x:f>
        <x:v>0</x:v>
      </x:c>
      <x:c r="O71" s="46" t="str"/>
    </x:row>
    <x:row r="72" ht="44" customHeight="1">
      <x:c r="A72" s="46" t="str">
        <x:v>SEO-001</x:v>
      </x:c>
      <x:c r="B72" s="46" t="str">
        <x:v>SEO与国际化</x:v>
      </x:c>
      <x:c r="C72" s="46" t="str">
        <x:v>国际化</x:v>
      </x:c>
      <x:c r="D72" s="46" t="str">
        <x:v>next-intl 5语言静态消息</x:v>
      </x:c>
      <x:c r="E72" s="46" t="str">
        <x:v>已完成</x:v>
      </x:c>
      <x:c r="F72" s="46" t="str">
        <x:v>P0</x:v>
      </x:c>
      <x:c r="G72" s="46" t="str">
        <x:v>开发</x:v>
      </x:c>
      <x:c r="H72" s="47" t="n">
        <x:v>46226</x:v>
      </x:c>
      <x:c r="I72" s="46" t="str">
        <x:v>FE-001</x:v>
      </x:c>
      <x:c r="J72" s="46" t="str">
        <x:v>5个messages文件结构一致</x:v>
      </x:c>
      <x:c r="K72" s="46" t="str">
        <x:v>messages/*.json</x:v>
      </x:c>
      <x:c r="L72" s="46" t="str">
        <x:v>统一zh与zh-CN</x:v>
      </x:c>
      <x:c r="M72" s="47" t="n">
        <x:v>46233</x:v>
      </x:c>
      <x:c r="N72" s="48" t="n">
        <x:f>IF(E72="已完成",1,IF(E72="待验收",0.85,IF(E72="进行中",0.5,IF(E72="待外部",0.15,IF(E72="阻塞",0.1,0)))))</x:f>
        <x:v>1</x:v>
      </x:c>
      <x:c r="O72" s="46" t="str"/>
    </x:row>
    <x:row r="73" ht="44" customHeight="1">
      <x:c r="A73" s="46" t="str">
        <x:v>SEO-002</x:v>
      </x:c>
      <x:c r="B73" s="46" t="str">
        <x:v>SEO与国际化</x:v>
      </x:c>
      <x:c r="C73" s="46" t="str">
        <x:v>技术SEO</x:v>
      </x:c>
      <x:c r="D73" s="46" t="str">
        <x:v>robots与sitemap基础</x:v>
      </x:c>
      <x:c r="E73" s="46" t="str">
        <x:v>已完成</x:v>
      </x:c>
      <x:c r="F73" s="46" t="str">
        <x:v>P1</x:v>
      </x:c>
      <x:c r="G73" s="46" t="str">
        <x:v>开发</x:v>
      </x:c>
      <x:c r="H73" s="47" t="n">
        <x:v>46227</x:v>
      </x:c>
      <x:c r="I73" s="46" t="str">
        <x:v>FE-004</x:v>
      </x:c>
      <x:c r="J73" s="46" t="str">
        <x:v>/robots.txt和/sitemap.xml可生成</x:v>
      </x:c>
      <x:c r="K73" s="46" t="str">
        <x:v>app/robots.ts、app/sitemap.ts</x:v>
      </x:c>
      <x:c r="L73" s="46" t="str">
        <x:v>改为主域名并扩充URL</x:v>
      </x:c>
      <x:c r="M73" s="47" t="n">
        <x:v>46233</x:v>
      </x:c>
      <x:c r="N73" s="48" t="n">
        <x:f>IF(E73="已完成",1,IF(E73="待验收",0.85,IF(E73="进行中",0.5,IF(E73="待外部",0.15,IF(E73="阻塞",0.1,0)))))</x:f>
        <x:v>1</x:v>
      </x:c>
      <x:c r="O73" s="46" t="str"/>
    </x:row>
    <x:row r="74" ht="44" customHeight="1">
      <x:c r="A74" s="46" t="str">
        <x:v>SEO-003</x:v>
      </x:c>
      <x:c r="B74" s="46" t="str">
        <x:v>SEO与国际化</x:v>
      </x:c>
      <x:c r="C74" s="46" t="str">
        <x:v>结构化数据</x:v>
      </x:c>
      <x:c r="D74" s="46" t="str">
        <x:v>首页WebSite JSON-LD</x:v>
      </x:c>
      <x:c r="E74" s="46" t="str">
        <x:v>已完成</x:v>
      </x:c>
      <x:c r="F74" s="46" t="str">
        <x:v>P1</x:v>
      </x:c>
      <x:c r="G74" s="46" t="str">
        <x:v>开发</x:v>
      </x:c>
      <x:c r="H74" s="47" t="n">
        <x:v>46227</x:v>
      </x:c>
      <x:c r="I74" s="46" t="str">
        <x:v>FE-004</x:v>
      </x:c>
      <x:c r="J74" s="46" t="str">
        <x:v>首页HTML包含WebSite结构化数据</x:v>
      </x:c>
      <x:c r="K74" s="46" t="str">
        <x:v>app/[locale]/page.tsx</x:v>
      </x:c>
      <x:c r="L74" s="46" t="str">
        <x:v>增加Organization实体</x:v>
      </x:c>
      <x:c r="M74" s="47" t="n">
        <x:v>46233</x:v>
      </x:c>
      <x:c r="N74" s="48" t="n">
        <x:f>IF(E74="已完成",1,IF(E74="待验收",0.85,IF(E74="进行中",0.5,IF(E74="待外部",0.15,IF(E74="阻塞",0.1,0)))))</x:f>
        <x:v>1</x:v>
      </x:c>
      <x:c r="O74" s="46" t="str"/>
    </x:row>
    <x:row r="75" ht="44" customHeight="1">
      <x:c r="A75" s="46" t="str">
        <x:v>SEO-004</x:v>
      </x:c>
      <x:c r="B75" s="46" t="str">
        <x:v>SEO与国际化</x:v>
      </x:c>
      <x:c r="C75" s="46" t="str">
        <x:v>域名</x:v>
      </x:c>
      <x:c r="D75" s="46" t="str">
        <x:v>mahjonggame.org迁移</x:v>
      </x:c>
      <x:c r="E75" s="46" t="str">
        <x:v>已完成</x:v>
      </x:c>
      <x:c r="F75" s="46" t="str">
        <x:v>P0</x:v>
      </x:c>
      <x:c r="G75" s="46" t="str">
        <x:v>你</x:v>
      </x:c>
      <x:c r="H75" s="47" t="n">
        <x:v>46234</x:v>
      </x:c>
      <x:c r="I75" s="46" t="str">
        <x:v>无</x:v>
      </x:c>
      <x:c r="J75" s="46" t="str">
        <x:v>CiCi解绑、leona绑定、DNS切换完成</x:v>
      </x:c>
      <x:c r="K75" s="46" t="str">
        <x:v>用户确认2026-07-31完成</x:v>
      </x:c>
      <x:c r="L75" s="46" t="str">
        <x:v>执行域名验收</x:v>
      </x:c>
      <x:c r="M75" s="47" t="n">
        <x:v>46234</x:v>
      </x:c>
      <x:c r="N75" s="48" t="n">
        <x:f>IF(E75="已完成",1,IF(E75="待验收",0.85,IF(E75="进行中",0.5,IF(E75="待外部",0.15,IF(E75="阻塞",0.1,0)))))</x:f>
        <x:v>1</x:v>
      </x:c>
      <x:c r="O75" s="46" t="str"/>
    </x:row>
    <x:row r="76" ht="44" customHeight="1">
      <x:c r="A76" s="46" t="str">
        <x:v>SEO-005</x:v>
      </x:c>
      <x:c r="B76" s="46" t="str">
        <x:v>SEO与国际化</x:v>
      </x:c>
      <x:c r="C76" s="46" t="str">
        <x:v>域名</x:v>
      </x:c>
      <x:c r="D76" s="46" t="str">
        <x:v>主域名DNS、HTTPS与页面验收</x:v>
      </x:c>
      <x:c r="E76" s="46" t="str">
        <x:v>待验收</x:v>
      </x:c>
      <x:c r="F76" s="46" t="str">
        <x:v>P0</x:v>
      </x:c>
      <x:c r="G76" s="46" t="str">
        <x:v>开发+你</x:v>
      </x:c>
      <x:c r="H76" s="47" t="n">
        <x:v>46235</x:v>
      </x:c>
      <x:c r="I76" s="46" t="str">
        <x:v>SEO-004</x:v>
      </x:c>
      <x:c r="J76" s="46" t="str">
        <x:v>根域/www、HTTPS、重定向和5语言页面正常</x:v>
      </x:c>
      <x:c r="K76" s="46" t="str">
        <x:v>迁移已完成，未记录验收结果</x:v>
      </x:c>
      <x:c r="L76" s="46" t="str">
        <x:v>curl并记录状态码和canonical</x:v>
      </x:c>
      <x:c r="M76" s="47" t="n">
        <x:v>46234</x:v>
      </x:c>
      <x:c r="N76" s="48" t="n">
        <x:f>IF(E76="已完成",1,IF(E76="待验收",0.85,IF(E76="进行中",0.5,IF(E76="待外部",0.15,IF(E76="阻塞",0.1,0)))))</x:f>
        <x:v>0.85</x:v>
      </x:c>
      <x:c r="O76" s="46" t="str"/>
    </x:row>
    <x:row r="77" ht="44" customHeight="1">
      <x:c r="A77" s="46" t="str">
        <x:v>SEO-006</x:v>
      </x:c>
      <x:c r="B77" s="46" t="str">
        <x:v>SEO与国际化</x:v>
      </x:c>
      <x:c r="C77" s="46" t="str">
        <x:v>技术SEO</x:v>
      </x:c>
      <x:c r="D77" s="46" t="str">
        <x:v>canonical、hreflang与sitemap审计</x:v>
      </x:c>
      <x:c r="E77" s="46" t="str">
        <x:v>待开始</x:v>
      </x:c>
      <x:c r="F77" s="46" t="str">
        <x:v>P0</x:v>
      </x:c>
      <x:c r="G77" s="46" t="str">
        <x:v>SEO+开发</x:v>
      </x:c>
      <x:c r="H77" s="47" t="n">
        <x:v>46243</x:v>
      </x:c>
      <x:c r="I77" s="46" t="str">
        <x:v>SEO-005,FE-013</x:v>
      </x:c>
      <x:c r="J77" s="46" t="str">
        <x:v>核心页面无错误noindex，语言互链正确</x:v>
      </x:c>
      <x:c r="K77" s="46" t="str">
        <x:v>目前metadata和sitemap较基础</x:v>
      </x:c>
      <x:c r="L77" s="46" t="str">
        <x:v>形成SEO验收表</x:v>
      </x:c>
      <x:c r="M77" s="47" t="n">
        <x:v>46234</x:v>
      </x:c>
      <x:c r="N77" s="48" t="n">
        <x:f>IF(E77="已完成",1,IF(E77="待验收",0.85,IF(E77="进行中",0.5,IF(E77="待外部",0.15,IF(E77="阻塞",0.1,0)))))</x:f>
        <x:v>0</x:v>
      </x:c>
      <x:c r="O77" s="46" t="str"/>
    </x:row>
    <x:row r="78" ht="44" customHeight="1">
      <x:c r="A78" s="46" t="str">
        <x:v>SEO-007</x:v>
      </x:c>
      <x:c r="B78" s="46" t="str">
        <x:v>SEO与国际化</x:v>
      </x:c>
      <x:c r="C78" s="46" t="str">
        <x:v>语言治理</x:v>
      </x:c>
      <x:c r="D78" s="46" t="str">
        <x:v>统一zh与zh-CN并明确5/18语言范围</x:v>
      </x:c>
      <x:c r="E78" s="46" t="str">
        <x:v>待开始</x:v>
      </x:c>
      <x:c r="F78" s="46" t="str">
        <x:v>P0</x:v>
      </x:c>
      <x:c r="G78" s="46" t="str">
        <x:v>产品+SEO</x:v>
      </x:c>
      <x:c r="H78" s="47" t="n">
        <x:v>46240</x:v>
      </x:c>
      <x:c r="I78" s="46" t="str">
        <x:v>无</x:v>
      </x:c>
      <x:c r="J78" s="46" t="str">
        <x:v>路由、后台、数据库locale规范一致</x:v>
      </x:c>
      <x:c r="K78" s="46" t="str">
        <x:v>公开站5语，后台允许18语</x:v>
      </x:c>
      <x:c r="L78" s="46" t="str">
        <x:v>确定Locale枚举与迁移方案</x:v>
      </x:c>
      <x:c r="M78" s="47" t="n">
        <x:v>46234</x:v>
      </x:c>
      <x:c r="N78" s="48" t="n">
        <x:f>IF(E78="已完成",1,IF(E78="待验收",0.85,IF(E78="进行中",0.5,IF(E78="待外部",0.15,IF(E78="阻塞",0.1,0)))))</x:f>
        <x:v>0</x:v>
      </x:c>
      <x:c r="O78" s="46" t="str"/>
    </x:row>
    <x:row r="79" ht="44" customHeight="1">
      <x:c r="A79" s="46" t="str">
        <x:v>SEO-008</x:v>
      </x:c>
      <x:c r="B79" s="46" t="str">
        <x:v>SEO与国际化</x:v>
      </x:c>
      <x:c r="C79" s="46" t="str">
        <x:v>i18n数据</x:v>
      </x:c>
      <x:c r="D79" s="46" t="str">
        <x:v>实现DB文案到next-intl读取/构建同步</x:v>
      </x:c>
      <x:c r="E79" s="46" t="str">
        <x:v>待开始</x:v>
      </x:c>
      <x:c r="F79" s="46" t="str">
        <x:v>P1</x:v>
      </x:c>
      <x:c r="G79" s="46" t="str">
        <x:v>开发</x:v>
      </x:c>
      <x:c r="H79" s="47" t="n">
        <x:v>46246</x:v>
      </x:c>
      <x:c r="I79" s="46" t="str">
        <x:v>DB-005,ADM-012,SEO-007</x:v>
      </x:c>
      <x:c r="J79" s="46" t="str">
        <x:v>后台改文案可在前台生效</x:v>
      </x:c>
      <x:c r="K79" s="46" t="str">
        <x:v>i18n/request.ts仅导入JSON</x:v>
      </x:c>
      <x:c r="L79" s="46" t="str">
        <x:v>选择运行时读取或发布生成</x:v>
      </x:c>
      <x:c r="M79" s="47" t="n">
        <x:v>46234</x:v>
      </x:c>
      <x:c r="N79" s="48" t="n">
        <x:f>IF(E79="已完成",1,IF(E79="待验收",0.85,IF(E79="进行中",0.5,IF(E79="待外部",0.15,IF(E79="阻塞",0.1,0)))))</x:f>
        <x:v>0</x:v>
      </x:c>
      <x:c r="O79" s="46" t="str"/>
    </x:row>
    <x:row r="80" ht="44" customHeight="1">
      <x:c r="A80" s="46" t="str">
        <x:v>SEO-009</x:v>
      </x:c>
      <x:c r="B80" s="46" t="str">
        <x:v>SEO与国际化</x:v>
      </x:c>
      <x:c r="C80" s="46" t="str">
        <x:v>内容规划</x:v>
      </x:c>
      <x:c r="D80" s="46" t="str">
        <x:v>建立Learn/Rules/Culture/AI Coach内容架构</x:v>
      </x:c>
      <x:c r="E80" s="46" t="str">
        <x:v>待开始</x:v>
      </x:c>
      <x:c r="F80" s="46" t="str">
        <x:v>P1</x:v>
      </x:c>
      <x:c r="G80" s="46" t="str">
        <x:v>SEO+产品</x:v>
      </x:c>
      <x:c r="H80" s="47" t="n">
        <x:v>46246</x:v>
      </x:c>
      <x:c r="I80" s="46" t="str">
        <x:v>SEO-006</x:v>
      </x:c>
      <x:c r="J80" s="46" t="str">
        <x:v>支柱页、URL和关键词映射确认</x:v>
      </x:c>
      <x:c r="K80" s="46" t="str">
        <x:v>只有规划文档</x:v>
      </x:c>
      <x:c r="L80" s="46" t="str">
        <x:v>输出首批内容Brief</x:v>
      </x:c>
      <x:c r="M80" s="47" t="n">
        <x:v>46234</x:v>
      </x:c>
      <x:c r="N80" s="48" t="n">
        <x:f>IF(E80="已完成",1,IF(E80="待验收",0.85,IF(E80="进行中",0.5,IF(E80="待外部",0.15,IF(E80="阻塞",0.1,0)))))</x:f>
        <x:v>0</x:v>
      </x:c>
      <x:c r="O80" s="46" t="str"/>
    </x:row>
    <x:row r="81" ht="44" customHeight="1">
      <x:c r="A81" s="46" t="str">
        <x:v>SEO-010</x:v>
      </x:c>
      <x:c r="B81" s="46" t="str">
        <x:v>SEO与国际化</x:v>
      </x:c>
      <x:c r="C81" s="46" t="str">
        <x:v>内容生产</x:v>
      </x:c>
      <x:c r="D81" s="46" t="str">
        <x:v>发布首批15篇术语与Learn内容</x:v>
      </x:c>
      <x:c r="E81" s="46" t="str">
        <x:v>待开始</x:v>
      </x:c>
      <x:c r="F81" s="46" t="str">
        <x:v>P1</x:v>
      </x:c>
      <x:c r="G81" s="46" t="str">
        <x:v>SEO</x:v>
      </x:c>
      <x:c r="H81" s="47" t="n">
        <x:v>46256</x:v>
      </x:c>
      <x:c r="I81" s="46" t="str">
        <x:v>SEO-009</x:v>
      </x:c>
      <x:c r="J81" s="46" t="str">
        <x:v>至少15篇可索引多语言内容上线</x:v>
      </x:c>
      <x:c r="K81" s="46" t="str">
        <x:v>尚未启动</x:v>
      </x:c>
      <x:c r="L81" s="46" t="str">
        <x:v>按关键词优先级生产</x:v>
      </x:c>
      <x:c r="M81" s="47" t="n">
        <x:v>46234</x:v>
      </x:c>
      <x:c r="N81" s="48" t="n">
        <x:f>IF(E81="已完成",1,IF(E81="待验收",0.85,IF(E81="进行中",0.5,IF(E81="待外部",0.15,IF(E81="阻塞",0.1,0)))))</x:f>
        <x:v>0</x:v>
      </x:c>
      <x:c r="O81" s="46" t="str"/>
    </x:row>
    <x:row r="82" ht="44" customHeight="1">
      <x:c r="A82" s="46" t="str">
        <x:v>SEO-011</x:v>
      </x:c>
      <x:c r="B82" s="46" t="str">
        <x:v>SEO与国际化</x:v>
      </x:c>
      <x:c r="C82" s="46" t="str">
        <x:v>结构化数据</x:v>
      </x:c>
      <x:c r="D82" s="46" t="str">
        <x:v>FAQPage、Article、Breadcrumb JSON-LD</x:v>
      </x:c>
      <x:c r="E82" s="46" t="str">
        <x:v>待开始</x:v>
      </x:c>
      <x:c r="F82" s="46" t="str">
        <x:v>P1</x:v>
      </x:c>
      <x:c r="G82" s="46" t="str">
        <x:v>开发+SEO</x:v>
      </x:c>
      <x:c r="H82" s="47" t="n">
        <x:v>46252</x:v>
      </x:c>
      <x:c r="I82" s="46" t="str">
        <x:v>FE-011,SEO-009</x:v>
      </x:c>
      <x:c r="J82" s="46" t="str">
        <x:v>Rich Results校验无错误</x:v>
      </x:c>
      <x:c r="K82" s="46" t="str">
        <x:v>目前只有WebSite JSON-LD</x:v>
      </x:c>
      <x:c r="L82" s="46" t="str">
        <x:v>实现共用结构化数据组件</x:v>
      </x:c>
      <x:c r="M82" s="47" t="n">
        <x:v>46234</x:v>
      </x:c>
      <x:c r="N82" s="48" t="n">
        <x:f>IF(E82="已完成",1,IF(E82="待验收",0.85,IF(E82="进行中",0.5,IF(E82="待外部",0.15,IF(E82="阻塞",0.1,0)))))</x:f>
        <x:v>0</x:v>
      </x:c>
      <x:c r="O82" s="46" t="str"/>
    </x:row>
    <x:row r="83" ht="44" customHeight="1">
      <x:c r="A83" s="46" t="str">
        <x:v>SEO-012</x:v>
      </x:c>
      <x:c r="B83" s="46" t="str">
        <x:v>SEO与国际化</x:v>
      </x:c>
      <x:c r="C83" s="46" t="str">
        <x:v>分析</x:v>
      </x:c>
      <x:c r="D83" s="46" t="str">
        <x:v>接入GSC、GA4与Clarity</x:v>
      </x:c>
      <x:c r="E83" s="46" t="str">
        <x:v>待开始</x:v>
      </x:c>
      <x:c r="F83" s="46" t="str">
        <x:v>P1</x:v>
      </x:c>
      <x:c r="G83" s="46" t="str">
        <x:v>SEO+数据</x:v>
      </x:c>
      <x:c r="H83" s="47" t="n">
        <x:v>46250</x:v>
      </x:c>
      <x:c r="I83" s="46" t="str">
        <x:v>SEO-005,ADM-013</x:v>
      </x:c>
      <x:c r="J83" s="46" t="str">
        <x:v>可查看抓取、流量和行为数据</x:v>
      </x:c>
      <x:c r="K83" s="46" t="str">
        <x:v>站点设置有占位字段</x:v>
      </x:c>
      <x:c r="L83" s="46" t="str">
        <x:v>创建资产并验证事件</x:v>
      </x:c>
      <x:c r="M83" s="47" t="n">
        <x:v>46234</x:v>
      </x:c>
      <x:c r="N83" s="48" t="n">
        <x:f>IF(E83="已完成",1,IF(E83="待验收",0.85,IF(E83="进行中",0.5,IF(E83="待外部",0.15,IF(E83="阻塞",0.1,0)))))</x:f>
        <x:v>0</x:v>
      </x:c>
      <x:c r="O83" s="46" t="str"/>
    </x:row>
    <x:row r="84" ht="44" customHeight="1">
      <x:c r="A84" s="46" t="str">
        <x:v>OPS-001</x:v>
      </x:c>
      <x:c r="B84" s="46" t="str">
        <x:v>部署与运维</x:v>
      </x:c>
      <x:c r="C84" s="46" t="str">
        <x:v>部署</x:v>
      </x:c>
      <x:c r="D84" s="46" t="str">
        <x:v>Vercel部署上线</x:v>
      </x:c>
      <x:c r="E84" s="46" t="str">
        <x:v>已完成</x:v>
      </x:c>
      <x:c r="F84" s="46" t="str">
        <x:v>P0</x:v>
      </x:c>
      <x:c r="G84" s="46" t="str">
        <x:v>开发</x:v>
      </x:c>
      <x:c r="H84" s="47" t="n">
        <x:v>46227</x:v>
      </x:c>
      <x:c r="I84" s="46" t="str">
        <x:v>FE-001</x:v>
      </x:c>
      <x:c r="J84" s="46" t="str">
        <x:v>Vercel预览域名可访问</x:v>
      </x:c>
      <x:c r="K84" s="46" t="str">
        <x:v>mahjonggamebox.vercel.app</x:v>
      </x:c>
      <x:c r="L84" s="46" t="str">
        <x:v>绑定正式域名并验收</x:v>
      </x:c>
      <x:c r="M84" s="47" t="n">
        <x:v>46233</x:v>
      </x:c>
      <x:c r="N84" s="48" t="n">
        <x:f>IF(E84="已完成",1,IF(E84="待验收",0.85,IF(E84="进行中",0.5,IF(E84="待外部",0.15,IF(E84="阻塞",0.1,0)))))</x:f>
        <x:v>1</x:v>
      </x:c>
      <x:c r="O84" s="46" t="str"/>
    </x:row>
    <x:row r="85" ht="44" customHeight="1">
      <x:c r="A85" s="46" t="str">
        <x:v>OPS-002</x:v>
      </x:c>
      <x:c r="B85" s="46" t="str">
        <x:v>部署与运维</x:v>
      </x:c>
      <x:c r="C85" s="46" t="str">
        <x:v>构建</x:v>
      </x:c>
      <x:c r="D85" s="46" t="str">
        <x:v>build/postinstall执行prisma generate</x:v>
      </x:c>
      <x:c r="E85" s="46" t="str">
        <x:v>已完成</x:v>
      </x:c>
      <x:c r="F85" s="46" t="str">
        <x:v>P0</x:v>
      </x:c>
      <x:c r="G85" s="46" t="str">
        <x:v>开发</x:v>
      </x:c>
      <x:c r="H85" s="47" t="n">
        <x:v>46234</x:v>
      </x:c>
      <x:c r="I85" s="46" t="str">
        <x:v>DB-001</x:v>
      </x:c>
      <x:c r="J85" s="46" t="str">
        <x:v>Vercel构建包含Prisma Client</x:v>
      </x:c>
      <x:c r="K85" s="46" t="str">
        <x:v>commit 6427928</x:v>
      </x:c>
      <x:c r="L85" s="46" t="str">
        <x:v>加入CI构建检查</x:v>
      </x:c>
      <x:c r="M85" s="47" t="n">
        <x:v>46234</x:v>
      </x:c>
      <x:c r="N85" s="48" t="n">
        <x:f>IF(E85="已完成",1,IF(E85="待验收",0.85,IF(E85="进行中",0.5,IF(E85="待外部",0.15,IF(E85="阻塞",0.1,0)))))</x:f>
        <x:v>1</x:v>
      </x:c>
      <x:c r="O85" s="46" t="str"/>
    </x:row>
    <x:row r="86" ht="44" customHeight="1">
      <x:c r="A86" s="46" t="str">
        <x:v>OPS-003</x:v>
      </x:c>
      <x:c r="B86" s="46" t="str">
        <x:v>部署与运维</x:v>
      </x:c>
      <x:c r="C86" s="46" t="str">
        <x:v>CI</x:v>
      </x:c>
      <x:c r="D86" s="46" t="str">
        <x:v>GitHub Actions执行typecheck/test/build</x:v>
      </x:c>
      <x:c r="E86" s="46" t="str">
        <x:v>待开始</x:v>
      </x:c>
      <x:c r="F86" s="46" t="str">
        <x:v>P0</x:v>
      </x:c>
      <x:c r="G86" s="46" t="str">
        <x:v>开发</x:v>
      </x:c>
      <x:c r="H86" s="47" t="n">
        <x:v>46239</x:v>
      </x:c>
      <x:c r="I86" s="46" t="str">
        <x:v>无</x:v>
      </x:c>
      <x:c r="J86" s="46" t="str">
        <x:v>每次PR自动检查且main受保护</x:v>
      </x:c>
      <x:c r="K86" s="46" t="str">
        <x:v>仓库无Actions配置</x:v>
      </x:c>
      <x:c r="L86" s="46" t="str">
        <x:v>建立最小CI工作流</x:v>
      </x:c>
      <x:c r="M86" s="47" t="n">
        <x:v>46234</x:v>
      </x:c>
      <x:c r="N86" s="48" t="n">
        <x:f>IF(E86="已完成",1,IF(E86="待验收",0.85,IF(E86="进行中",0.5,IF(E86="待外部",0.15,IF(E86="阻塞",0.1,0)))))</x:f>
        <x:v>0</x:v>
      </x:c>
      <x:c r="O86" s="46" t="str"/>
    </x:row>
    <x:row r="87" ht="44" customHeight="1">
      <x:c r="A87" s="46" t="str">
        <x:v>OPS-004</x:v>
      </x:c>
      <x:c r="B87" s="46" t="str">
        <x:v>部署与运维</x:v>
      </x:c>
      <x:c r="C87" s="46" t="str">
        <x:v>安全</x:v>
      </x:c>
      <x:c r="D87" s="46" t="str">
        <x:v>吊销旧Vercel/Cloudflare Token</x:v>
      </x:c>
      <x:c r="E87" s="46" t="str">
        <x:v>待外部</x:v>
      </x:c>
      <x:c r="F87" s="46" t="str">
        <x:v>P0</x:v>
      </x:c>
      <x:c r="G87" s="46" t="str">
        <x:v>你</x:v>
      </x:c>
      <x:c r="H87" s="47" t="n">
        <x:v>46236</x:v>
      </x:c>
      <x:c r="I87" s="46" t="str">
        <x:v>域名迁移完成</x:v>
      </x:c>
      <x:c r="J87" s="46" t="str">
        <x:v>旧Token无法再访问项目</x:v>
      </x:c>
      <x:c r="K87" s="46" t="str">
        <x:v>文档列为待办</x:v>
      </x:c>
      <x:c r="L87" s="46" t="str">
        <x:v>在控制台吊销并记录</x:v>
      </x:c>
      <x:c r="M87" s="47" t="n">
        <x:v>46234</x:v>
      </x:c>
      <x:c r="N87" s="48" t="n">
        <x:f>IF(E87="已完成",1,IF(E87="待验收",0.85,IF(E87="进行中",0.5,IF(E87="待外部",0.15,IF(E87="阻塞",0.1,0)))))</x:f>
        <x:v>0.15</x:v>
      </x:c>
      <x:c r="O87" s="46" t="str"/>
    </x:row>
    <x:row r="88" ht="44" customHeight="1">
      <x:c r="A88" s="46" t="str">
        <x:v>OPS-005</x:v>
      </x:c>
      <x:c r="B88" s="46" t="str">
        <x:v>部署与运维</x:v>
      </x:c>
      <x:c r="C88" s="46" t="str">
        <x:v>成本</x:v>
      </x:c>
      <x:c r="D88" s="46" t="str">
        <x:v>开启Vercel Spend Management</x:v>
      </x:c>
      <x:c r="E88" s="46" t="str">
        <x:v>待外部</x:v>
      </x:c>
      <x:c r="F88" s="46" t="str">
        <x:v>P1</x:v>
      </x:c>
      <x:c r="G88" s="46" t="str">
        <x:v>你</x:v>
      </x:c>
      <x:c r="H88" s="47" t="n">
        <x:v>46236</x:v>
      </x:c>
      <x:c r="I88" s="46" t="str">
        <x:v>Vercel项目权限</x:v>
      </x:c>
      <x:c r="J88" s="46" t="str">
        <x:v>预算阈值和告警邮箱生效</x:v>
      </x:c>
      <x:c r="K88" s="46" t="str">
        <x:v>文档列为待办</x:v>
      </x:c>
      <x:c r="L88" s="46" t="str">
        <x:v>设置预算并截图存档</x:v>
      </x:c>
      <x:c r="M88" s="47" t="n">
        <x:v>46234</x:v>
      </x:c>
      <x:c r="N88" s="48" t="n">
        <x:f>IF(E88="已完成",1,IF(E88="待验收",0.85,IF(E88="进行中",0.5,IF(E88="待外部",0.15,IF(E88="阻塞",0.1,0)))))</x:f>
        <x:v>0.15</x:v>
      </x:c>
      <x:c r="O88" s="46" t="str"/>
    </x:row>
    <x:row r="89" ht="44" customHeight="1">
      <x:c r="A89" s="46" t="str">
        <x:v>OPS-006</x:v>
      </x:c>
      <x:c r="B89" s="46" t="str">
        <x:v>部署与运维</x:v>
      </x:c>
      <x:c r="C89" s="46" t="str">
        <x:v>监控</x:v>
      </x:c>
      <x:c r="D89" s="46" t="str">
        <x:v>错误监控与可用性监控</x:v>
      </x:c>
      <x:c r="E89" s="46" t="str">
        <x:v>待开始</x:v>
      </x:c>
      <x:c r="F89" s="46" t="str">
        <x:v>P1</x:v>
      </x:c>
      <x:c r="G89" s="46" t="str">
        <x:v>开发</x:v>
      </x:c>
      <x:c r="H89" s="47" t="n">
        <x:v>46252</x:v>
      </x:c>
      <x:c r="I89" s="46" t="str">
        <x:v>OPS-003</x:v>
      </x:c>
      <x:c r="J89" s="46" t="str">
        <x:v>前后端错误、域名和关键API有告警</x:v>
      </x:c>
      <x:c r="K89" s="46" t="str">
        <x:v>当前无统一监控</x:v>
      </x:c>
      <x:c r="L89" s="46" t="str">
        <x:v>选定Sentry/Uptime方案</x:v>
      </x:c>
      <x:c r="M89" s="47" t="n">
        <x:v>46234</x:v>
      </x:c>
      <x:c r="N89" s="48" t="n">
        <x:f>IF(E89="已完成",1,IF(E89="待验收",0.85,IF(E89="进行中",0.5,IF(E89="待外部",0.15,IF(E89="阻塞",0.1,0)))))</x:f>
        <x:v>0</x:v>
      </x:c>
      <x:c r="O89" s="46" t="str"/>
    </x:row>
    <x:row r="90" ht="44" customHeight="1">
      <x:c r="A90" s="46" t="str">
        <x:v>OPS-007</x:v>
      </x:c>
      <x:c r="B90" s="46" t="str">
        <x:v>部署与运维</x:v>
      </x:c>
      <x:c r="C90" s="46" t="str">
        <x:v>环境管理</x:v>
      </x:c>
      <x:c r="D90" s="46" t="str">
        <x:v>Development/Preview/Production变量清单</x:v>
      </x:c>
      <x:c r="E90" s="46" t="str">
        <x:v>待开始</x:v>
      </x:c>
      <x:c r="F90" s="46" t="str">
        <x:v>P0</x:v>
      </x:c>
      <x:c r="G90" s="46" t="str">
        <x:v>开发+你</x:v>
      </x:c>
      <x:c r="H90" s="47" t="n">
        <x:v>46238</x:v>
      </x:c>
      <x:c r="I90" s="46" t="str">
        <x:v>DB-003,AUTH-004</x:v>
      </x:c>
      <x:c r="J90" s="46" t="str">
        <x:v>变量有负责人、作用域和轮换记录</x:v>
      </x:c>
      <x:c r="K90" s="46" t="str">
        <x:v>仅有.env.local.example</x:v>
      </x:c>
      <x:c r="L90" s="46" t="str">
        <x:v>建立环境矩阵且不记录Secret值</x:v>
      </x:c>
      <x:c r="M90" s="47" t="n">
        <x:v>46234</x:v>
      </x:c>
      <x:c r="N90" s="48" t="n">
        <x:f>IF(E90="已完成",1,IF(E90="待验收",0.85,IF(E90="进行中",0.5,IF(E90="待外部",0.15,IF(E90="阻塞",0.1,0)))))</x:f>
        <x:v>0</x:v>
      </x:c>
      <x:c r="O90" s="46" t="str"/>
    </x:row>
    <x:row r="91" ht="44" customHeight="1">
      <x:c r="A91" s="46" t="str">
        <x:v>OPS-008</x:v>
      </x:c>
      <x:c r="B91" s="46" t="str">
        <x:v>部署与运维</x:v>
      </x:c>
      <x:c r="C91" s="46" t="str">
        <x:v>发布</x:v>
      </x:c>
      <x:c r="D91" s="46" t="str">
        <x:v>生产发布与回滚Runbook</x:v>
      </x:c>
      <x:c r="E91" s="46" t="str">
        <x:v>待开始</x:v>
      </x:c>
      <x:c r="F91" s="46" t="str">
        <x:v>P1</x:v>
      </x:c>
      <x:c r="G91" s="46" t="str">
        <x:v>开发</x:v>
      </x:c>
      <x:c r="H91" s="47" t="n">
        <x:v>46254</x:v>
      </x:c>
      <x:c r="I91" s="46" t="str">
        <x:v>OPS-003,DB-007</x:v>
      </x:c>
      <x:c r="J91" s="46" t="str">
        <x:v>可按步骤发布、验证和回滚</x:v>
      </x:c>
      <x:c r="K91" s="46" t="str">
        <x:v>目前依赖人工经验</x:v>
      </x:c>
      <x:c r="L91" s="46" t="str">
        <x:v>编写Runbook并演练</x:v>
      </x:c>
      <x:c r="M91" s="47" t="n">
        <x:v>46234</x:v>
      </x:c>
      <x:c r="N91" s="48" t="n">
        <x:f>IF(E91="已完成",1,IF(E91="待验收",0.85,IF(E91="进行中",0.5,IF(E91="待外部",0.15,IF(E91="阻塞",0.1,0)))))</x:f>
        <x:v>0</x:v>
      </x:c>
      <x:c r="O91" s="46" t="str"/>
    </x:row>
    <x:row r="92" ht="44" customHeight="1">
      <x:c r="A92" s="46" t="str">
        <x:v>COM-001</x:v>
      </x:c>
      <x:c r="B92" s="46" t="str">
        <x:v>商业化</x:v>
      </x:c>
      <x:c r="C92" s="46" t="str">
        <x:v>Shopify</x:v>
      </x:c>
      <x:c r="D92" s="46" t="str">
        <x:v>创建Shopify店铺</x:v>
      </x:c>
      <x:c r="E92" s="46" t="str">
        <x:v>待外部</x:v>
      </x:c>
      <x:c r="F92" s="46" t="str">
        <x:v>P0</x:v>
      </x:c>
      <x:c r="G92" s="46" t="str">
        <x:v>你</x:v>
      </x:c>
      <x:c r="H92" s="47" t="n">
        <x:v>46244</x:v>
      </x:c>
      <x:c r="I92" s="46" t="str">
        <x:v>需要Shopify账号</x:v>
      </x:c>
      <x:c r="J92" s="46" t="str">
        <x:v>店铺可登录并完成基础设置</x:v>
      </x:c>
      <x:c r="K92" s="46" t="str">
        <x:v>尚未启动</x:v>
      </x:c>
      <x:c r="L92" s="46" t="str">
        <x:v>注册店铺并设置市场</x:v>
      </x:c>
      <x:c r="M92" s="47" t="n">
        <x:v>46234</x:v>
      </x:c>
      <x:c r="N92" s="48" t="n">
        <x:f>IF(E92="已完成",1,IF(E92="待验收",0.85,IF(E92="进行中",0.5,IF(E92="待外部",0.15,IF(E92="阻塞",0.1,0)))))</x:f>
        <x:v>0.15</x:v>
      </x:c>
      <x:c r="O92" s="46" t="str"/>
    </x:row>
    <x:row r="93" ht="44" customHeight="1">
      <x:c r="A93" s="46" t="str">
        <x:v>COM-002</x:v>
      </x:c>
      <x:c r="B93" s="46" t="str">
        <x:v>商业化</x:v>
      </x:c>
      <x:c r="C93" s="46" t="str">
        <x:v>商品</x:v>
      </x:c>
      <x:c r="D93" s="46" t="str">
        <x:v>确定首批商品、价格、库存和物流</x:v>
      </x:c>
      <x:c r="E93" s="46" t="str">
        <x:v>待开始</x:v>
      </x:c>
      <x:c r="F93" s="46" t="str">
        <x:v>P0</x:v>
      </x:c>
      <x:c r="G93" s="46" t="str">
        <x:v>产品+你</x:v>
      </x:c>
      <x:c r="H93" s="47" t="n">
        <x:v>46247</x:v>
      </x:c>
      <x:c r="I93" s="46" t="str">
        <x:v>COM-001</x:v>
      </x:c>
      <x:c r="J93" s="46" t="str">
        <x:v>首批SKU可上架且利润测算完成</x:v>
      </x:c>
      <x:c r="K93" s="46" t="str">
        <x:v>尚未提供商品清单</x:v>
      </x:c>
      <x:c r="L93" s="46" t="str">
        <x:v>输出SKU表与供应链信息</x:v>
      </x:c>
      <x:c r="M93" s="47" t="n">
        <x:v>46234</x:v>
      </x:c>
      <x:c r="N93" s="48" t="n">
        <x:f>IF(E93="已完成",1,IF(E93="待验收",0.85,IF(E93="进行中",0.5,IF(E93="待外部",0.15,IF(E93="阻塞",0.1,0)))))</x:f>
        <x:v>0</x:v>
      </x:c>
      <x:c r="O93" s="46" t="str"/>
    </x:row>
    <x:row r="94" ht="44" customHeight="1">
      <x:c r="A94" s="46" t="str">
        <x:v>COM-003</x:v>
      </x:c>
      <x:c r="B94" s="46" t="str">
        <x:v>商业化</x:v>
      </x:c>
      <x:c r="C94" s="46" t="str">
        <x:v>支付</x:v>
      </x:c>
      <x:c r="D94" s="46" t="str">
        <x:v>配置支付、税费、币种和测试订单</x:v>
      </x:c>
      <x:c r="E94" s="46" t="str">
        <x:v>阻塞</x:v>
      </x:c>
      <x:c r="F94" s="46" t="str">
        <x:v>P0</x:v>
      </x:c>
      <x:c r="G94" s="46" t="str">
        <x:v>你</x:v>
      </x:c>
      <x:c r="H94" s="47" t="n">
        <x:v>46251</x:v>
      </x:c>
      <x:c r="I94" s="46" t="str">
        <x:v>COM-001,COM-002</x:v>
      </x:c>
      <x:c r="J94" s="46" t="str">
        <x:v>目标市场可完成测试支付</x:v>
      </x:c>
      <x:c r="K94" s="46" t="str">
        <x:v>等待店铺与商品</x:v>
      </x:c>
      <x:c r="L94" s="46" t="str">
        <x:v>完成支付身份认证</x:v>
      </x:c>
      <x:c r="M94" s="47" t="n">
        <x:v>46234</x:v>
      </x:c>
      <x:c r="N94" s="48" t="n">
        <x:f>IF(E94="已完成",1,IF(E94="待验收",0.85,IF(E94="进行中",0.5,IF(E94="待外部",0.15,IF(E94="阻塞",0.1,0)))))</x:f>
        <x:v>0.1</x:v>
      </x:c>
      <x:c r="O94" s="46" t="str"/>
    </x:row>
    <x:row r="95" ht="44" customHeight="1">
      <x:c r="A95" s="46" t="str">
        <x:v>COM-004</x:v>
      </x:c>
      <x:c r="B95" s="46" t="str">
        <x:v>商业化</x:v>
      </x:c>
      <x:c r="C95" s="46" t="str">
        <x:v>合规</x:v>
      </x:c>
      <x:c r="D95" s="46" t="str">
        <x:v>隐私、退款、配送与服务条款</x:v>
      </x:c>
      <x:c r="E95" s="46" t="str">
        <x:v>待开始</x:v>
      </x:c>
      <x:c r="F95" s="46" t="str">
        <x:v>P1</x:v>
      </x:c>
      <x:c r="G95" s="46" t="str">
        <x:v>你+法务</x:v>
      </x:c>
      <x:c r="H95" s="47" t="n">
        <x:v>46250</x:v>
      </x:c>
      <x:c r="I95" s="46" t="str">
        <x:v>COM-001</x:v>
      </x:c>
      <x:c r="J95" s="46" t="str">
        <x:v>结账页展示完整政策</x:v>
      </x:c>
      <x:c r="K95" s="46" t="str">
        <x:v>尚未启动</x:v>
      </x:c>
      <x:c r="L95" s="46" t="str">
        <x:v>准备目标市场合规模板</x:v>
      </x:c>
      <x:c r="M95" s="47" t="n">
        <x:v>46234</x:v>
      </x:c>
      <x:c r="N95" s="48" t="n">
        <x:f>IF(E95="已完成",1,IF(E95="待验收",0.85,IF(E95="进行中",0.5,IF(E95="待外部",0.15,IF(E95="阻塞",0.1,0)))))</x:f>
        <x:v>0</x:v>
      </x:c>
      <x:c r="O95" s="46" t="str"/>
    </x:row>
    <x:row r="96" ht="44" customHeight="1">
      <x:c r="A96" s="46" t="str">
        <x:v>COM-005</x:v>
      </x:c>
      <x:c r="B96" s="46" t="str">
        <x:v>商业化</x:v>
      </x:c>
      <x:c r="C96" s="46" t="str">
        <x:v>站点集成</x:v>
      </x:c>
      <x:c r="D96" s="46" t="str">
        <x:v>站点商城入口与商品CTA</x:v>
      </x:c>
      <x:c r="E96" s="46" t="str">
        <x:v>待开始</x:v>
      </x:c>
      <x:c r="F96" s="46" t="str">
        <x:v>P1</x:v>
      </x:c>
      <x:c r="G96" s="46" t="str">
        <x:v>开发+产品</x:v>
      </x:c>
      <x:c r="H96" s="47" t="n">
        <x:v>46252</x:v>
      </x:c>
      <x:c r="I96" s="46" t="str">
        <x:v>COM-001,FE-012</x:v>
      </x:c>
      <x:c r="J96" s="46" t="str">
        <x:v>导航和内容页可进入商城</x:v>
      </x:c>
      <x:c r="K96" s="46" t="str">
        <x:v>当前无Shopify入口</x:v>
      </x:c>
      <x:c r="L96" s="46" t="str">
        <x:v>确定跳转或Headless方案</x:v>
      </x:c>
      <x:c r="M96" s="47" t="n">
        <x:v>46234</x:v>
      </x:c>
      <x:c r="N96" s="48" t="n">
        <x:f>IF(E96="已完成",1,IF(E96="待验收",0.85,IF(E96="进行中",0.5,IF(E96="待外部",0.15,IF(E96="阻塞",0.1,0)))))</x:f>
        <x:v>0</x:v>
      </x:c>
      <x:c r="O96" s="46" t="str"/>
    </x:row>
    <x:row r="97" ht="44" customHeight="1">
      <x:c r="A97" s="46" t="str">
        <x:v>COM-006</x:v>
      </x:c>
      <x:c r="B97" s="46" t="str">
        <x:v>商业化</x:v>
      </x:c>
      <x:c r="C97" s="46" t="str">
        <x:v>数据归因</x:v>
      </x:c>
      <x:c r="D97" s="46" t="str">
        <x:v>GA/GTM跨域与电商漏斗</x:v>
      </x:c>
      <x:c r="E97" s="46" t="str">
        <x:v>待开始</x:v>
      </x:c>
      <x:c r="F97" s="46" t="str">
        <x:v>P1</x:v>
      </x:c>
      <x:c r="G97" s="46" t="str">
        <x:v>数据+开发</x:v>
      </x:c>
      <x:c r="H97" s="47" t="n">
        <x:v>46255</x:v>
      </x:c>
      <x:c r="I97" s="46" t="str">
        <x:v>COM-003,SEO-012</x:v>
      </x:c>
      <x:c r="J97" s="46" t="str">
        <x:v>可追踪内容→游戏→商城→支付</x:v>
      </x:c>
      <x:c r="K97" s="46" t="str">
        <x:v>尚未接分析平台</x:v>
      </x:c>
      <x:c r="L97" s="46" t="str">
        <x:v>定义事件与跨域配置</x:v>
      </x:c>
      <x:c r="M97" s="47" t="n">
        <x:v>46234</x:v>
      </x:c>
      <x:c r="N97" s="48" t="n">
        <x:f>IF(E97="已完成",1,IF(E97="待验收",0.85,IF(E97="进行中",0.5,IF(E97="待外部",0.15,IF(E97="阻塞",0.1,0)))))</x:f>
        <x:v>0</x:v>
      </x:c>
      <x:c r="O97" s="46" t="str"/>
    </x:row>
    <x:row r="98" ht="44" customHeight="1">
      <x:c r="A98" s="46" t="str">
        <x:v>COM-007</x:v>
      </x:c>
      <x:c r="B98" s="46" t="str">
        <x:v>商业化</x:v>
      </x:c>
      <x:c r="C98" s="46" t="str">
        <x:v>广告</x:v>
      </x:c>
      <x:c r="D98" s="46" t="str">
        <x:v>确定并接入正式广告平台</x:v>
      </x:c>
      <x:c r="E98" s="46" t="str">
        <x:v>待开始</x:v>
      </x:c>
      <x:c r="F98" s="46" t="str">
        <x:v>P2</x:v>
      </x:c>
      <x:c r="G98" s="46" t="str">
        <x:v>产品+开发</x:v>
      </x:c>
      <x:c r="H98" s="47" t="n">
        <x:v>46258</x:v>
      </x:c>
      <x:c r="I98" s="46" t="str">
        <x:v>FE-009,SEO-012</x:v>
      </x:c>
      <x:c r="J98" s="46" t="str">
        <x:v>广告展示合规且有收入数据</x:v>
      </x:c>
      <x:c r="K98" s="46" t="str">
        <x:v>AdSlot仍是占位</x:v>
      </x:c>
      <x:c r="L98" s="46" t="str">
        <x:v>评估AdSense/激励广告</x:v>
      </x:c>
      <x:c r="M98" s="47" t="n">
        <x:v>46234</x:v>
      </x:c>
      <x:c r="N98" s="48" t="n">
        <x:f>IF(E98="已完成",1,IF(E98="待验收",0.85,IF(E98="进行中",0.5,IF(E98="待外部",0.15,IF(E98="阻塞",0.1,0)))))</x:f>
        <x:v>0</x:v>
      </x:c>
      <x:c r="O98" s="46" t="str"/>
    </x:row>
    <x:row r="99" ht="44" customHeight="1">
      <x:c r="A99" s="46" t="str">
        <x:v>COM-008</x:v>
      </x:c>
      <x:c r="B99" s="46" t="str">
        <x:v>商业化</x:v>
      </x:c>
      <x:c r="C99" s="46" t="str">
        <x:v>端到端</x:v>
      </x:c>
      <x:c r="D99" s="46" t="str">
        <x:v>结账、支付、失败与退款E2E</x:v>
      </x:c>
      <x:c r="E99" s="46" t="str">
        <x:v>阻塞</x:v>
      </x:c>
      <x:c r="F99" s="46" t="str">
        <x:v>P0</x:v>
      </x:c>
      <x:c r="G99" s="46" t="str">
        <x:v>测试+你</x:v>
      </x:c>
      <x:c r="H99" s="47" t="n">
        <x:v>46259</x:v>
      </x:c>
      <x:c r="I99" s="46" t="str">
        <x:v>COM-003,COM-005</x:v>
      </x:c>
      <x:c r="J99" s="46" t="str">
        <x:v>完整测试记录无P0问题</x:v>
      </x:c>
      <x:c r="K99" s="46" t="str">
        <x:v>等待店铺和支付配置</x:v>
      </x:c>
      <x:c r="L99" s="46" t="str">
        <x:v>建立测试订单场景</x:v>
      </x:c>
      <x:c r="M99" s="47" t="n">
        <x:v>46234</x:v>
      </x:c>
      <x:c r="N99" s="48" t="n">
        <x:f>IF(E99="已完成",1,IF(E99="待验收",0.85,IF(E99="进行中",0.5,IF(E99="待外部",0.15,IF(E99="阻塞",0.1,0)))))</x:f>
        <x:v>0.1</x:v>
      </x:c>
      <x:c r="O99" s="46" t="str"/>
    </x:row>
    <x:row r="100" ht="44" customHeight="1">
      <x:c r="A100" s="46" t="str">
        <x:v>GAME-001</x:v>
      </x:c>
      <x:c r="B100" s="46" t="str">
        <x:v>自研玩法</x:v>
      </x:c>
      <x:c r="C100" s="46" t="str">
        <x:v>进度同步</x:v>
      </x:c>
      <x:c r="D100" s="46" t="str">
        <x:v>产品同学提供核心玩法进度</x:v>
      </x:c>
      <x:c r="E100" s="46" t="str">
        <x:v>待外部</x:v>
      </x:c>
      <x:c r="F100" s="46" t="str">
        <x:v>P0</x:v>
      </x:c>
      <x:c r="G100" s="46" t="str">
        <x:v>产品同学</x:v>
      </x:c>
      <x:c r="H100" s="47" t="n">
        <x:v>46237</x:v>
      </x:c>
      <x:c r="I100" s="46" t="str">
        <x:v>无</x:v>
      </x:c>
      <x:c r="J100" s="46" t="str">
        <x:v>明确完成度、代码位置、负责人和日期</x:v>
      </x:c>
      <x:c r="K100" s="46" t="str">
        <x:v>仓库内没有自研游戏代码</x:v>
      </x:c>
      <x:c r="L100" s="46" t="str">
        <x:v>召开同步会并记录</x:v>
      </x:c>
      <x:c r="M100" s="47" t="n">
        <x:v>46234</x:v>
      </x:c>
      <x:c r="N100" s="48" t="n">
        <x:f>IF(E100="已完成",1,IF(E100="待验收",0.85,IF(E100="进行中",0.5,IF(E100="待外部",0.15,IF(E100="阻塞",0.1,0)))))</x:f>
        <x:v>0.15</x:v>
      </x:c>
      <x:c r="O100" s="46" t="str"/>
    </x:row>
    <x:row r="101" ht="44" customHeight="1">
      <x:c r="A101" s="46" t="str">
        <x:v>GAME-002</x:v>
      </x:c>
      <x:c r="B101" s="46" t="str">
        <x:v>自研玩法</x:v>
      </x:c>
      <x:c r="C101" s="46" t="str">
        <x:v>技术协议</x:v>
      </x:c>
      <x:c r="D101" s="46" t="str">
        <x:v>确定iframe/SDK与身份传递协议</x:v>
      </x:c>
      <x:c r="E101" s="46" t="str">
        <x:v>阻塞</x:v>
      </x:c>
      <x:c r="F101" s="46" t="str">
        <x:v>P0</x:v>
      </x:c>
      <x:c r="G101" s="46" t="str">
        <x:v>产品+开发</x:v>
      </x:c>
      <x:c r="H101" s="47" t="n">
        <x:v>46242</x:v>
      </x:c>
      <x:c r="I101" s="46" t="str">
        <x:v>GAME-001,AUTH-005</x:v>
      </x:c>
      <x:c r="J101" s="46" t="str">
        <x:v>接口文档含启动、结束、积分和错误事件</x:v>
      </x:c>
      <x:c r="K101" s="46" t="str">
        <x:v>等待产品输入</x:v>
      </x:c>
      <x:c r="L101" s="46" t="str">
        <x:v>输出联调协议v1</x:v>
      </x:c>
      <x:c r="M101" s="47" t="n">
        <x:v>46234</x:v>
      </x:c>
      <x:c r="N101" s="48" t="n">
        <x:f>IF(E101="已完成",1,IF(E101="待验收",0.85,IF(E101="进行中",0.5,IF(E101="待外部",0.15,IF(E101="阻塞",0.1,0)))))</x:f>
        <x:v>0.1</x:v>
      </x:c>
      <x:c r="O101" s="46" t="str"/>
    </x:row>
    <x:row r="102" ht="44" customHeight="1">
      <x:c r="A102" s="46" t="str">
        <x:v>GAME-003</x:v>
      </x:c>
      <x:c r="B102" s="46" t="str">
        <x:v>自研玩法</x:v>
      </x:c>
      <x:c r="C102" s="46" t="str">
        <x:v>数值平衡</x:v>
      </x:c>
      <x:c r="D102" s="46" t="str">
        <x:v>提供数值和平衡配置</x:v>
      </x:c>
      <x:c r="E102" s="46" t="str">
        <x:v>待外部</x:v>
      </x:c>
      <x:c r="F102" s="46" t="str">
        <x:v>P1</x:v>
      </x:c>
      <x:c r="G102" s="46" t="str">
        <x:v>产品同学</x:v>
      </x:c>
      <x:c r="H102" s="47" t="n">
        <x:v>46248</x:v>
      </x:c>
      <x:c r="I102" s="46" t="str">
        <x:v>GAME-001</x:v>
      </x:c>
      <x:c r="J102" s="46" t="str">
        <x:v>核心参数和版本管理方式明确</x:v>
      </x:c>
      <x:c r="K102" s="46" t="str">
        <x:v>尚未启动</x:v>
      </x:c>
      <x:c r="L102" s="46" t="str">
        <x:v>建立调参表</x:v>
      </x:c>
      <x:c r="M102" s="47" t="n">
        <x:v>46234</x:v>
      </x:c>
      <x:c r="N102" s="48" t="n">
        <x:f>IF(E102="已完成",1,IF(E102="待验收",0.85,IF(E102="进行中",0.5,IF(E102="待外部",0.15,IF(E102="阻塞",0.1,0)))))</x:f>
        <x:v>0.15</x:v>
      </x:c>
      <x:c r="O102" s="46" t="str"/>
    </x:row>
    <x:row r="103" ht="44" customHeight="1">
      <x:c r="A103" s="46" t="str">
        <x:v>GAME-004</x:v>
      </x:c>
      <x:c r="B103" s="46" t="str">
        <x:v>自研玩法</x:v>
      </x:c>
      <x:c r="C103" s="46" t="str">
        <x:v>站点联调</x:v>
      </x:c>
      <x:c r="D103" s="46" t="str">
        <x:v>自研玩法接入站点</x:v>
      </x:c>
      <x:c r="E103" s="46" t="str">
        <x:v>阻塞</x:v>
      </x:c>
      <x:c r="F103" s="46" t="str">
        <x:v>P0</x:v>
      </x:c>
      <x:c r="G103" s="46" t="str">
        <x:v>开发+产品</x:v>
      </x:c>
      <x:c r="H103" s="47" t="n">
        <x:v>46254</x:v>
      </x:c>
      <x:c r="I103" s="46" t="str">
        <x:v>GAME-002,AUTH-007</x:v>
      </x:c>
      <x:c r="J103" s="46" t="str">
        <x:v>登录、游戏、积分和统计端到端可用</x:v>
      </x:c>
      <x:c r="K103" s="46" t="str">
        <x:v>等待游戏与协议</x:v>
      </x:c>
      <x:c r="L103" s="46" t="str">
        <x:v>建立适配层和联调环境</x:v>
      </x:c>
      <x:c r="M103" s="47" t="n">
        <x:v>46234</x:v>
      </x:c>
      <x:c r="N103" s="48" t="n">
        <x:f>IF(E103="已完成",1,IF(E103="待验收",0.85,IF(E103="进行中",0.5,IF(E103="待外部",0.15,IF(E103="阻塞",0.1,0)))))</x:f>
        <x:v>0.1</x:v>
      </x:c>
      <x:c r="O103" s="46" t="str"/>
    </x:row>
    <x:row r="104" ht="44" customHeight="1">
      <x:c r="A104" s="46" t="str">
        <x:v>GAME-005</x:v>
      </x:c>
      <x:c r="B104" s="46" t="str">
        <x:v>自研玩法</x:v>
      </x:c>
      <x:c r="C104" s="46" t="str">
        <x:v>质量</x:v>
      </x:c>
      <x:c r="D104" s="46" t="str">
        <x:v>玩法兼容性、存档和异常测试</x:v>
      </x:c>
      <x:c r="E104" s="46" t="str">
        <x:v>阻塞</x:v>
      </x:c>
      <x:c r="F104" s="46" t="str">
        <x:v>P1</x:v>
      </x:c>
      <x:c r="G104" s="46" t="str">
        <x:v>测试+产品</x:v>
      </x:c>
      <x:c r="H104" s="47" t="n">
        <x:v>46258</x:v>
      </x:c>
      <x:c r="I104" s="46" t="str">
        <x:v>GAME-004</x:v>
      </x:c>
      <x:c r="J104" s="46" t="str">
        <x:v>移动端、桌面端和断线恢复通过</x:v>
      </x:c>
      <x:c r="K104" s="46" t="str">
        <x:v>等待联调版本</x:v>
      </x:c>
      <x:c r="L104" s="46" t="str">
        <x:v>准备玩法测试矩阵</x:v>
      </x:c>
      <x:c r="M104" s="47" t="n">
        <x:v>46234</x:v>
      </x:c>
      <x:c r="N104" s="48" t="n">
        <x:f>IF(E104="已完成",1,IF(E104="待验收",0.85,IF(E104="进行中",0.5,IF(E104="待外部",0.15,IF(E104="阻塞",0.1,0)))))</x:f>
        <x:v>0.1</x:v>
      </x:c>
      <x:c r="O104" s="46" t="str"/>
    </x:row>
    <x:row r="105" ht="44" customHeight="1">
      <x:c r="A105" s="46" t="str">
        <x:v>QA-001</x:v>
      </x:c>
      <x:c r="B105" s="46" t="str">
        <x:v>测试与发布</x:v>
      </x:c>
      <x:c r="C105" s="46" t="str">
        <x:v>单元测试</x:v>
      </x:c>
      <x:c r="D105" s="46" t="str">
        <x:v>后台输入校验器30例</x:v>
      </x:c>
      <x:c r="E105" s="46" t="str">
        <x:v>已完成</x:v>
      </x:c>
      <x:c r="F105" s="46" t="str">
        <x:v>P1</x:v>
      </x:c>
      <x:c r="G105" s="46" t="str">
        <x:v>开发</x:v>
      </x:c>
      <x:c r="H105" s="47" t="n">
        <x:v>46233</x:v>
      </x:c>
      <x:c r="I105" s="46" t="str">
        <x:v>API-005</x:v>
      </x:c>
      <x:c r="J105" s="46" t="str">
        <x:v>现有校验器用例全部通过</x:v>
      </x:c>
      <x:c r="K105" s="46" t="str">
        <x:v>Vitest现有30/30用例通过</x:v>
      </x:c>
      <x:c r="L105" s="46" t="str">
        <x:v>接入GitHub Actions持续运行</x:v>
      </x:c>
      <x:c r="M105" s="47" t="n">
        <x:v>46234</x:v>
      </x:c>
      <x:c r="N105" s="48" t="n">
        <x:v>1</x:v>
      </x:c>
      <x:c r="O105" s="46" t="str"/>
    </x:row>
    <x:row r="106" ht="44" customHeight="1">
      <x:c r="A106" s="46" t="str">
        <x:v>QA-002</x:v>
      </x:c>
      <x:c r="B106" s="46" t="str">
        <x:v>测试与发布</x:v>
      </x:c>
      <x:c r="C106" s="46" t="str">
        <x:v>构建测试</x:v>
      </x:c>
      <x:c r="D106" s="46" t="str">
        <x:v>生产构建与基础冒烟</x:v>
      </x:c>
      <x:c r="E106" s="46" t="str">
        <x:v>已完成</x:v>
      </x:c>
      <x:c r="F106" s="46" t="str">
        <x:v>P0</x:v>
      </x:c>
      <x:c r="G106" s="46" t="str">
        <x:v>开发</x:v>
      </x:c>
      <x:c r="H106" s="47" t="n">
        <x:v>46233</x:v>
      </x:c>
      <x:c r="I106" s="46" t="str">
        <x:v>FE-001</x:v>
      </x:c>
      <x:c r="J106" s="46" t="str">
        <x:v>文档记录构建通过</x:v>
      </x:c>
      <x:c r="K106" s="46" t="str">
        <x:v>里程碑文档记录68静态页</x:v>
      </x:c>
      <x:c r="L106" s="46" t="str">
        <x:v>在当前commit重新由CI验证</x:v>
      </x:c>
      <x:c r="M106" s="47" t="n">
        <x:v>46233</x:v>
      </x:c>
      <x:c r="N106" s="48" t="n">
        <x:f>IF(E106="已完成",1,IF(E106="待验收",0.85,IF(E106="进行中",0.5,IF(E106="待外部",0.15,IF(E106="阻塞",0.1,0)))))</x:f>
        <x:v>1</x:v>
      </x:c>
      <x:c r="O106" s="46" t="str"/>
    </x:row>
    <x:row r="107" ht="44" customHeight="1">
      <x:c r="A107" s="46" t="str">
        <x:v>QA-003</x:v>
      </x:c>
      <x:c r="B107" s="46" t="str">
        <x:v>测试与发布</x:v>
      </x:c>
      <x:c r="C107" s="46" t="str">
        <x:v>后台E2E</x:v>
      </x:c>
      <x:c r="D107" s="46" t="str">
        <x:v>游戏、FAQ、Features、设置、i18n联调</x:v>
      </x:c>
      <x:c r="E107" s="46" t="str">
        <x:v>阻塞</x:v>
      </x:c>
      <x:c r="F107" s="46" t="str">
        <x:v>P0</x:v>
      </x:c>
      <x:c r="G107" s="46" t="str">
        <x:v>测试+开发</x:v>
      </x:c>
      <x:c r="H107" s="47" t="n">
        <x:v>46243</x:v>
      </x:c>
      <x:c r="I107" s="46" t="str">
        <x:v>DB-006,AUTH-006,ADM-012,ADM-013</x:v>
      </x:c>
      <x:c r="J107" s="46" t="str">
        <x:v>核心后台流程全部通过</x:v>
      </x:c>
      <x:c r="K107" s="46" t="str">
        <x:v>等待数据库和真实登录</x:v>
      </x:c>
      <x:c r="L107" s="46" t="str">
        <x:v>编写测试用例并逐项验收</x:v>
      </x:c>
      <x:c r="M107" s="47" t="n">
        <x:v>46234</x:v>
      </x:c>
      <x:c r="N107" s="48" t="n">
        <x:f>IF(E107="已完成",1,IF(E107="待验收",0.85,IF(E107="进行中",0.5,IF(E107="待外部",0.15,IF(E107="阻塞",0.1,0)))))</x:f>
        <x:v>0.1</x:v>
      </x:c>
      <x:c r="O107" s="46" t="str"/>
    </x:row>
    <x:row r="108" ht="44" customHeight="1">
      <x:c r="A108" s="46" t="str">
        <x:v>QA-004</x:v>
      </x:c>
      <x:c r="B108" s="46" t="str">
        <x:v>测试与发布</x:v>
      </x:c>
      <x:c r="C108" s="46" t="str">
        <x:v>API测试</x:v>
      </x:c>
      <x:c r="D108" s="46" t="str">
        <x:v>Auth、积分和Admin API集成测试</x:v>
      </x:c>
      <x:c r="E108" s="46" t="str">
        <x:v>待开始</x:v>
      </x:c>
      <x:c r="F108" s="46" t="str">
        <x:v>P0</x:v>
      </x:c>
      <x:c r="G108" s="46" t="str">
        <x:v>开发</x:v>
      </x:c>
      <x:c r="H108" s="47" t="n">
        <x:v>46246</x:v>
      </x:c>
      <x:c r="I108" s="46" t="str">
        <x:v>DB-006,AUTH-005</x:v>
      </x:c>
      <x:c r="J108" s="46" t="str">
        <x:v>正常、权限、校验和异常路径覆盖</x:v>
      </x:c>
      <x:c r="K108" s="46" t="str">
        <x:v>当前只有纯校验器测试</x:v>
      </x:c>
      <x:c r="L108" s="46" t="str">
        <x:v>建立测试数据库策略</x:v>
      </x:c>
      <x:c r="M108" s="47" t="n">
        <x:v>46234</x:v>
      </x:c>
      <x:c r="N108" s="48" t="n">
        <x:f>IF(E108="已完成",1,IF(E108="待验收",0.85,IF(E108="进行中",0.5,IF(E108="待外部",0.15,IF(E108="阻塞",0.1,0)))))</x:f>
        <x:v>0</x:v>
      </x:c>
      <x:c r="O108" s="46" t="str"/>
    </x:row>
    <x:row r="109" ht="44" customHeight="1">
      <x:c r="A109" s="46" t="str">
        <x:v>QA-005</x:v>
      </x:c>
      <x:c r="B109" s="46" t="str">
        <x:v>测试与发布</x:v>
      </x:c>
      <x:c r="C109" s="46" t="str">
        <x:v>OAuth测试</x:v>
      </x:c>
      <x:c r="D109" s="46" t="str">
        <x:v>Google/Facebook/X真实登录E2E</x:v>
      </x:c>
      <x:c r="E109" s="46" t="str">
        <x:v>进行中</x:v>
      </x:c>
      <x:c r="F109" s="46" t="str">
        <x:v>P0</x:v>
      </x:c>
      <x:c r="G109" s="46" t="str">
        <x:v>测试+你</x:v>
      </x:c>
      <x:c r="H109" s="47" t="n">
        <x:v>46243</x:v>
      </x:c>
      <x:c r="I109" s="46" t="str">
        <x:v>AUTH-004,AUTH-005</x:v>
      </x:c>
      <x:c r="J109" s="46" t="str">
        <x:v>三平台登录/取消/失败/退出通过</x:v>
      </x:c>
      <x:c r="K109" s="46" t="str">
        <x:v>Google、Facebook、X真实登录、Session持久化和退出主流程通过</x:v>
      </x:c>
      <x:c r="L109" s="46" t="str">
        <x:v>补登录取消、失败、账号停用与生产环境E2E</x:v>
      </x:c>
      <x:c r="M109" s="47" t="n">
        <x:v>46234</x:v>
      </x:c>
      <x:c r="N109" s="48" t="n">
        <x:v>0.8</x:v>
      </x:c>
      <x:c r="O109" s="46" t="str"/>
    </x:row>
    <x:row r="110" ht="44" customHeight="1">
      <x:c r="A110" s="46" t="str">
        <x:v>QA-006</x:v>
      </x:c>
      <x:c r="B110" s="46" t="str">
        <x:v>测试与发布</x:v>
      </x:c>
      <x:c r="C110" s="46" t="str">
        <x:v>多语言测试</x:v>
      </x:c>
      <x:c r="D110" s="46" t="str">
        <x:v>5语言页面、切换和SEO冒烟</x:v>
      </x:c>
      <x:c r="E110" s="46" t="str">
        <x:v>待开始</x:v>
      </x:c>
      <x:c r="F110" s="46" t="str">
        <x:v>P1</x:v>
      </x:c>
      <x:c r="G110" s="46" t="str">
        <x:v>测试+SEO</x:v>
      </x:c>
      <x:c r="H110" s="47" t="n">
        <x:v>46250</x:v>
      </x:c>
      <x:c r="I110" s="46" t="str">
        <x:v>FE-013,SEO-007</x:v>
      </x:c>
      <x:c r="J110" s="46" t="str">
        <x:v>语言路由和关键文案无错误</x:v>
      </x:c>
      <x:c r="K110" s="46" t="str">
        <x:v>历史仅验证部分路径</x:v>
      </x:c>
      <x:c r="L110" s="46" t="str">
        <x:v>建立URL矩阵自动检查</x:v>
      </x:c>
      <x:c r="M110" s="47" t="n">
        <x:v>46234</x:v>
      </x:c>
      <x:c r="N110" s="48" t="n">
        <x:f>IF(E110="已完成",1,IF(E110="待验收",0.85,IF(E110="进行中",0.5,IF(E110="待外部",0.15,IF(E110="阻塞",0.1,0)))))</x:f>
        <x:v>0</x:v>
      </x:c>
      <x:c r="O110" s="46" t="str"/>
    </x:row>
    <x:row r="111" ht="44" customHeight="1">
      <x:c r="A111" s="46" t="str">
        <x:v>QA-007</x:v>
      </x:c>
      <x:c r="B111" s="46" t="str">
        <x:v>测试与发布</x:v>
      </x:c>
      <x:c r="C111" s="46" t="str">
        <x:v>兼容性</x:v>
      </x:c>
      <x:c r="D111" s="46" t="str">
        <x:v>移动端与主流浏览器测试</x:v>
      </x:c>
      <x:c r="E111" s="46" t="str">
        <x:v>待开始</x:v>
      </x:c>
      <x:c r="F111" s="46" t="str">
        <x:v>P1</x:v>
      </x:c>
      <x:c r="G111" s="46" t="str">
        <x:v>测试</x:v>
      </x:c>
      <x:c r="H111" s="47" t="n">
        <x:v>46255</x:v>
      </x:c>
      <x:c r="I111" s="46" t="str">
        <x:v>FE-015</x:v>
      </x:c>
      <x:c r="J111" s="46" t="str">
        <x:v>iOS/Android/Chrome/Safari/Edge通过</x:v>
      </x:c>
      <x:c r="K111" s="46" t="str">
        <x:v>尚无测试记录</x:v>
      </x:c>
      <x:c r="L111" s="46" t="str">
        <x:v>定义设备矩阵</x:v>
      </x:c>
      <x:c r="M111" s="47" t="n">
        <x:v>46234</x:v>
      </x:c>
      <x:c r="N111" s="48" t="n">
        <x:f>IF(E111="已完成",1,IF(E111="待验收",0.85,IF(E111="进行中",0.5,IF(E111="待外部",0.15,IF(E111="阻塞",0.1,0)))))</x:f>
        <x:v>0</x:v>
      </x:c>
      <x:c r="O111" s="46" t="str"/>
    </x:row>
    <x:row r="112" ht="44" customHeight="1">
      <x:c r="A112" s="46" t="str">
        <x:v>QA-008</x:v>
      </x:c>
      <x:c r="B112" s="46" t="str">
        <x:v>测试与发布</x:v>
      </x:c>
      <x:c r="C112" s="46" t="str">
        <x:v>性能</x:v>
      </x:c>
      <x:c r="D112" s="46" t="str">
        <x:v>Core Web Vitals与iframe性能</x:v>
      </x:c>
      <x:c r="E112" s="46" t="str">
        <x:v>待开始</x:v>
      </x:c>
      <x:c r="F112" s="46" t="str">
        <x:v>P1</x:v>
      </x:c>
      <x:c r="G112" s="46" t="str">
        <x:v>测试+开发</x:v>
      </x:c>
      <x:c r="H112" s="47" t="n">
        <x:v>46256</x:v>
      </x:c>
      <x:c r="I112" s="46" t="str">
        <x:v>FE-015,SEO-006</x:v>
      </x:c>
      <x:c r="J112" s="46" t="str">
        <x:v>LCP/CLS/INP达到上线标准</x:v>
      </x:c>
      <x:c r="K112" s="46" t="str">
        <x:v>LazyIframe已有基础</x:v>
      </x:c>
      <x:c r="L112" s="46" t="str">
        <x:v>运行Lighthouse与真机测试</x:v>
      </x:c>
      <x:c r="M112" s="47" t="n">
        <x:v>46234</x:v>
      </x:c>
      <x:c r="N112" s="48" t="n">
        <x:f>IF(E112="已完成",1,IF(E112="待验收",0.85,IF(E112="进行中",0.5,IF(E112="待外部",0.15,IF(E112="阻塞",0.1,0)))))</x:f>
        <x:v>0</x:v>
      </x:c>
      <x:c r="O112" s="46" t="str"/>
    </x:row>
    <x:row r="113" ht="44" customHeight="1">
      <x:c r="A113" s="46" t="str">
        <x:v>QA-009</x:v>
      </x:c>
      <x:c r="B113" s="46" t="str">
        <x:v>测试与发布</x:v>
      </x:c>
      <x:c r="C113" s="46" t="str">
        <x:v>安全</x:v>
      </x:c>
      <x:c r="D113" s="46" t="str">
        <x:v>权限、Secret、依赖与输入安全审计</x:v>
      </x:c>
      <x:c r="E113" s="46" t="str">
        <x:v>待开始</x:v>
      </x:c>
      <x:c r="F113" s="46" t="str">
        <x:v>P0</x:v>
      </x:c>
      <x:c r="G113" s="46" t="str">
        <x:v>开发</x:v>
      </x:c>
      <x:c r="H113" s="47" t="n">
        <x:v>46257</x:v>
      </x:c>
      <x:c r="I113" s="46" t="str">
        <x:v>AUTH-006,OPS-007</x:v>
      </x:c>
      <x:c r="J113" s="46" t="str">
        <x:v>无公开Secret、越权和高危依赖</x:v>
      </x:c>
      <x:c r="K113" s="46" t="str">
        <x:v>已有API白名单基础</x:v>
      </x:c>
      <x:c r="L113" s="46" t="str">
        <x:v>完成发布前安全清单</x:v>
      </x:c>
      <x:c r="M113" s="47" t="n">
        <x:v>46234</x:v>
      </x:c>
      <x:c r="N113" s="48" t="n">
        <x:f>IF(E113="已完成",1,IF(E113="待验收",0.85,IF(E113="进行中",0.5,IF(E113="待外部",0.15,IF(E113="阻塞",0.1,0)))))</x:f>
        <x:v>0</x:v>
      </x:c>
      <x:c r="O113" s="46" t="str"/>
    </x:row>
    <x:row r="114" ht="44" customHeight="1">
      <x:c r="A114" s="49" t="str">
        <x:v>QA-010</x:v>
      </x:c>
      <x:c r="B114" s="49" t="str">
        <x:v>测试与发布</x:v>
      </x:c>
      <x:c r="C114" s="49" t="str">
        <x:v>软启动</x:v>
      </x:c>
      <x:c r="D114" s="49" t="str">
        <x:v>生产软启动与上线验收</x:v>
      </x:c>
      <x:c r="E114" s="49" t="str">
        <x:v>阻塞</x:v>
      </x:c>
      <x:c r="F114" s="49" t="str">
        <x:v>P0</x:v>
      </x:c>
      <x:c r="G114" s="49" t="str">
        <x:v>全体</x:v>
      </x:c>
      <x:c r="H114" s="50" t="n">
        <x:v>46265</x:v>
      </x:c>
      <x:c r="I114" s="49" t="str">
        <x:v>QA-003,QA-005,COM-008,GAME-004</x:v>
      </x:c>
      <x:c r="J114" s="49" t="str">
        <x:v>基础功能、支付、监控和回滚均通过</x:v>
      </x:c>
      <x:c r="K114" s="49" t="str">
        <x:v>受多条关键路径阻塞</x:v>
      </x:c>
      <x:c r="L114" s="49" t="str">
        <x:v>每日跟踪P0燃尽</x:v>
      </x:c>
      <x:c r="M114" s="50" t="n">
        <x:v>46234</x:v>
      </x:c>
      <x:c r="N114" s="51" t="n">
        <x:f>IF(E114="已完成",1,IF(E114="待验收",0.85,IF(E114="进行中",0.5,IF(E114="待外部",0.15,IF(E114="阻塞",0.1,0)))))</x:f>
        <x:v>0.1</x:v>
      </x:c>
      <x:c r="O114" s="49" t="str"/>
    </x:row>
  </x:sheetData>
  <x:mergeCells>
    <x:mergeCell ref="A1:O1"/>
  </x:mergeCells>
  <x:conditionalFormatting sqref="E6:E114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待开始"/>
    <x:cfRule type="containsText" dxfId="3" priority="4" operator="containsText" text="阻塞"/>
    <x:cfRule type="containsText" dxfId="4" priority="5" operator="containsText" text="待外部"/>
    <x:cfRule type="containsText" dxfId="5" priority="6" operator="containsText" text="待验收"/>
  </x:conditionalFormatting>
  <x:conditionalFormatting sqref="F6:F114">
    <x:cfRule type="containsText" dxfId="6" priority="7" operator="containsText" text="P0"/>
    <x:cfRule type="containsText" dxfId="7" priority="8" operator="containsText" text="P1"/>
  </x:conditionalFormatting>
  <x:conditionalFormatting sqref="N6:N114">
    <x:cfRule type="dataBar" priority="9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{30E55358-0369-7FE1-E673-6BC22E041BC8}</x14:id>
        </x:ext>
      </x:extLst>
    </x:cfRule>
  </x:conditionalFormatting>
  <x:dataValidations count="3">
    <x:dataValidation type="list" sqref="E6:E114">
      <x:formula1>"已完成,进行中,待开始,阻塞,待外部,待验收"</x:formula1>
    </x:dataValidation>
    <x:dataValidation type="list" sqref="F6:F114">
      <x:formula1>"P0,P1,P2,P3"</x:formula1>
    </x:dataValidation>
    <x:dataValidation type="list" sqref="G6:G114">
      <x:formula1>"你,开发,产品,SEO,测试,数据,运维,法务,产品同学,开发+你,开发+产品,开发+SEO,SEO+开发,SEO+产品,测试+开发,测试+你,测试+SEO,测试+产品,产品+开发,产品+你,你+开发,你+法务,全体"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986f7f357345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9" id="{30E55358-0369-7FE1-E673-6BC22E041BC8}">
            <x14:dataBar gradient="1">
              <x14:cfvo type="min"/>
              <x14:cfvo type="max"/>
              <x14:fillColor rgb="FF2563EB"/>
            </x14:dataBar>
          </x14:cfRule>
          <xm:sqref>N6:N114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30" hidden="0" customWidth="1"/>
    <x:col min="4" max="4" width="38" hidden="0" customWidth="1"/>
    <x:col min="5" max="5" width="30" hidden="0" customWidth="1"/>
    <x:col min="6" max="6" width="30" hidden="0" customWidth="1"/>
    <x:col min="7" max="7" width="11" hidden="0" customWidth="1"/>
    <x:col min="8" max="8" width="14" hidden="0" customWidth="1"/>
    <x:col min="9" max="9" width="11" hidden="0" customWidth="1"/>
  </x:cols>
  <x:sheetData>
    <x:row r="1" ht="40" customHeight="1">
      <x:c r="A1" s="4" t="str">
        <x:v>每日推进记录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5" t="str">
        <x:v>每天新增一行：选择任务ID，记录今日结果、阻塞和下一步；任务状态仍以“工作清单”为准。</x:v>
      </x:c>
    </x:row>
    <x:row r="5">
      <x:c r="A5" s="17" t="str">
        <x:v>日期</x:v>
      </x:c>
      <x:c r="B5" s="18" t="str">
        <x:v>任务ID</x:v>
      </x:c>
      <x:c r="C5" s="18" t="str">
        <x:v>工作项</x:v>
      </x:c>
      <x:c r="D5" s="18" t="str">
        <x:v>今日完成 / 进展</x:v>
      </x:c>
      <x:c r="E5" s="18" t="str">
        <x:v>问题 / 阻塞</x:v>
      </x:c>
      <x:c r="F5" s="18" t="str">
        <x:v>明日动作</x:v>
      </x:c>
      <x:c r="G5" s="18" t="str">
        <x:v>状态</x:v>
      </x:c>
      <x:c r="H5" s="18" t="str">
        <x:v>负责人</x:v>
      </x:c>
      <x:c r="I5" s="19" t="str">
        <x:v>投入小时</x:v>
      </x:c>
    </x:row>
    <x:row r="6" ht="42" hidden="0" customHeight="1">
      <x:c r="A6" s="100" t="n">
        <x:v>46234</x:v>
      </x:c>
      <x:c r="B6" s="99" t="str">
        <x:v>DB-002/DB-003</x:v>
      </x:c>
      <x:c r="C6" s="99" t="str">
        <x:v>Neon数据库接入</x:v>
      </x:c>
      <x:c r="D6" s="99" t="str">
        <x:v>创建Neon并配置本地DATABASE_URL；账户与Session持久化验证通过</x:v>
      </x:c>
      <x:c r="E6" s="99" t="str">
        <x:v>Preview/Production尚未配置</x:v>
      </x:c>
      <x:c r="F6" s="99" t="str">
        <x:v>配置Vercel三环境并验证migration</x:v>
      </x:c>
      <x:c r="G6" s="99" t="str">
        <x:v>进行中</x:v>
      </x:c>
      <x:c r="H6" s="99" t="str">
        <x:v>你+开发</x:v>
      </x:c>
      <x:c r="I6" s="125" t="n">
        <x:v>1.5</x:v>
      </x:c>
    </x:row>
    <x:row r="7" ht="42" hidden="0" customHeight="1">
      <x:c r="A7" s="102" t="n">
        <x:v>46234</x:v>
      </x:c>
      <x:c r="B7" s="101" t="str">
        <x:v>AUTH-005</x:v>
      </x:c>
      <x:c r="C7" s="101" t="str">
        <x:v>Google真实登录</x:v>
      </x:c>
      <x:c r="D7" s="101" t="str">
        <x:v>Google OAuth登录、回调、用户信息、Session与退出通过</x:v>
      </x:c>
      <x:c r="E7" s="101" t="str">
        <x:v>生产回调尚待部署验收</x:v>
      </x:c>
      <x:c r="F7" s="101" t="str">
        <x:v>配置生产变量并验收</x:v>
      </x:c>
      <x:c r="G7" s="101" t="str">
        <x:v>已完成</x:v>
      </x:c>
      <x:c r="H7" s="101" t="str">
        <x:v>开发+你</x:v>
      </x:c>
      <x:c r="I7" s="126" t="n">
        <x:v>2</x:v>
      </x:c>
    </x:row>
    <x:row r="8" ht="42" hidden="0" customHeight="1">
      <x:c r="A8" s="102" t="n">
        <x:v>46234</x:v>
      </x:c>
      <x:c r="B8" s="101" t="str">
        <x:v>AUTH-005</x:v>
      </x:c>
      <x:c r="C8" s="101" t="str">
        <x:v>Facebook真实登录</x:v>
      </x:c>
      <x:c r="D8" s="101" t="str">
        <x:v>Facebook OAuth登录、回调、用户信息与Session通过</x:v>
      </x:c>
      <x:c r="E8" s="101" t="str">
        <x:v>Meta通知账号停用，可能影响应用管理与后续登录</x:v>
      </x:c>
      <x:c r="F8" s="101" t="str">
        <x:v>申诉/恢复账号并增加备用管理员</x:v>
      </x:c>
      <x:c r="G8" s="101" t="str">
        <x:v>进行中</x:v>
      </x:c>
      <x:c r="H8" s="101" t="str">
        <x:v>开发+你</x:v>
      </x:c>
      <x:c r="I8" s="126" t="n">
        <x:v>2</x:v>
      </x:c>
    </x:row>
    <x:row r="9" ht="42" hidden="0" customHeight="1">
      <x:c r="A9" s="102" t="n">
        <x:v>46234</x:v>
      </x:c>
      <x:c r="B9" s="101" t="str">
        <x:v>AUTH-005</x:v>
      </x:c>
      <x:c r="C9" s="101" t="str">
        <x:v>X真实登录</x:v>
      </x:c>
      <x:c r="D9" s="101" t="str">
        <x:v>完成OAuth 2.0 + PKCE接入；修正回调配置后真实登录成功</x:v>
      </x:c>
      <x:c r="E9" s="101" t="str">
        <x:v>生产环境尚待部署验收</x:v>
      </x:c>
      <x:c r="F9" s="101" t="str">
        <x:v>配置生产Secret并复核回调</x:v>
      </x:c>
      <x:c r="G9" s="101" t="str">
        <x:v>已完成</x:v>
      </x:c>
      <x:c r="H9" s="101" t="str">
        <x:v>开发+你</x:v>
      </x:c>
      <x:c r="I9" s="126" t="n">
        <x:v>3</x:v>
      </x:c>
    </x:row>
    <x:row r="10" ht="42" hidden="0" customHeight="1">
      <x:c r="A10" s="102" t="n">
        <x:v>46234</x:v>
      </x:c>
      <x:c r="B10" s="101" t="str">
        <x:v>QA-005</x:v>
      </x:c>
      <x:c r="C10" s="101" t="str">
        <x:v>OAuth综合自测</x:v>
      </x:c>
      <x:c r="D10" s="101" t="str">
        <x:v>三平台主流程、Neon持久化通过；Vitest 30/30及Auth类型检查通过</x:v>
      </x:c>
      <x:c r="E10" s="101" t="str">
        <x:v>取消/失败/账号停用等异常场景未全覆盖</x:v>
      </x:c>
      <x:c r="F10" s="101" t="str">
        <x:v>补异常场景和生产E2E</x:v>
      </x:c>
      <x:c r="G10" s="101" t="str">
        <x:v>进行中</x:v>
      </x:c>
      <x:c r="H10" s="101" t="str">
        <x:v>开发+你</x:v>
      </x:c>
      <x:c r="I10" s="126" t="n">
        <x:v>1.5</x:v>
      </x:c>
    </x:row>
    <x:row r="11" ht="42" customHeight="1">
      <x:c r="A11" s="102"/>
      <x:c r="B11" s="101"/>
      <x:c r="C11" s="101" t="str">
        <x:f>IFERROR(VLOOKUP(B11,'工作清单'!$A$6:$D$114,4,FALSE),"")</x:f>
      </x:c>
      <x:c r="D11" s="101"/>
      <x:c r="E11" s="101"/>
      <x:c r="F11" s="101"/>
      <x:c r="G11" s="101"/>
      <x:c r="H11" s="101"/>
      <x:c r="I11" s="101"/>
    </x:row>
    <x:row r="12" ht="42" customHeight="1">
      <x:c r="A12" s="102"/>
      <x:c r="B12" s="101"/>
      <x:c r="C12" s="101" t="str">
        <x:f>IFERROR(VLOOKUP(B12,'工作清单'!$A$6:$D$114,4,FALSE),"")</x:f>
      </x:c>
      <x:c r="D12" s="101"/>
      <x:c r="E12" s="101"/>
      <x:c r="F12" s="101"/>
      <x:c r="G12" s="101"/>
      <x:c r="H12" s="101"/>
      <x:c r="I12" s="101"/>
    </x:row>
    <x:row r="13" ht="42" customHeight="1">
      <x:c r="A13" s="102"/>
      <x:c r="B13" s="101"/>
      <x:c r="C13" s="101" t="str">
        <x:f>IFERROR(VLOOKUP(B13,'工作清单'!$A$6:$D$114,4,FALSE),"")</x:f>
      </x:c>
      <x:c r="D13" s="101"/>
      <x:c r="E13" s="101"/>
      <x:c r="F13" s="101"/>
      <x:c r="G13" s="101"/>
      <x:c r="H13" s="101"/>
      <x:c r="I13" s="101"/>
    </x:row>
    <x:row r="14" ht="42" customHeight="1">
      <x:c r="A14" s="102"/>
      <x:c r="B14" s="101"/>
      <x:c r="C14" s="101" t="str">
        <x:f>IFERROR(VLOOKUP(B14,'工作清单'!$A$6:$D$114,4,FALSE),"")</x:f>
      </x:c>
      <x:c r="D14" s="101"/>
      <x:c r="E14" s="101"/>
      <x:c r="F14" s="101"/>
      <x:c r="G14" s="101"/>
      <x:c r="H14" s="101"/>
      <x:c r="I14" s="101"/>
    </x:row>
    <x:row r="15" ht="42" customHeight="1">
      <x:c r="A15" s="102"/>
      <x:c r="B15" s="101"/>
      <x:c r="C15" s="101" t="str">
        <x:f>IFERROR(VLOOKUP(B15,'工作清单'!$A$6:$D$114,4,FALSE),"")</x:f>
      </x:c>
      <x:c r="D15" s="101"/>
      <x:c r="E15" s="101"/>
      <x:c r="F15" s="101"/>
      <x:c r="G15" s="101"/>
      <x:c r="H15" s="101"/>
      <x:c r="I15" s="101"/>
    </x:row>
    <x:row r="16" ht="42" customHeight="1">
      <x:c r="A16" s="102"/>
      <x:c r="B16" s="101"/>
      <x:c r="C16" s="101" t="str">
        <x:f>IFERROR(VLOOKUP(B16,'工作清单'!$A$6:$D$114,4,FALSE),"")</x:f>
      </x:c>
      <x:c r="D16" s="101"/>
      <x:c r="E16" s="101"/>
      <x:c r="F16" s="101"/>
      <x:c r="G16" s="101"/>
      <x:c r="H16" s="101"/>
      <x:c r="I16" s="101"/>
    </x:row>
    <x:row r="17" ht="42" customHeight="1">
      <x:c r="A17" s="102"/>
      <x:c r="B17" s="101"/>
      <x:c r="C17" s="101" t="str">
        <x:f>IFERROR(VLOOKUP(B17,'工作清单'!$A$6:$D$114,4,FALSE),"")</x:f>
      </x:c>
      <x:c r="D17" s="101"/>
      <x:c r="E17" s="101"/>
      <x:c r="F17" s="101"/>
      <x:c r="G17" s="101"/>
      <x:c r="H17" s="101"/>
      <x:c r="I17" s="101"/>
    </x:row>
    <x:row r="18" ht="42" customHeight="1">
      <x:c r="A18" s="102"/>
      <x:c r="B18" s="101"/>
      <x:c r="C18" s="101" t="str">
        <x:f>IFERROR(VLOOKUP(B18,'工作清单'!$A$6:$D$114,4,FALSE),"")</x:f>
      </x:c>
      <x:c r="D18" s="101"/>
      <x:c r="E18" s="101"/>
      <x:c r="F18" s="101"/>
      <x:c r="G18" s="101"/>
      <x:c r="H18" s="101"/>
      <x:c r="I18" s="101"/>
    </x:row>
    <x:row r="19" ht="42" customHeight="1">
      <x:c r="A19" s="102"/>
      <x:c r="B19" s="101"/>
      <x:c r="C19" s="101" t="str">
        <x:f>IFERROR(VLOOKUP(B19,'工作清单'!$A$6:$D$114,4,FALSE),"")</x:f>
      </x:c>
      <x:c r="D19" s="101"/>
      <x:c r="E19" s="101"/>
      <x:c r="F19" s="101"/>
      <x:c r="G19" s="101"/>
      <x:c r="H19" s="101"/>
      <x:c r="I19" s="101"/>
    </x:row>
    <x:row r="20" ht="42" customHeight="1">
      <x:c r="A20" s="102"/>
      <x:c r="B20" s="101"/>
      <x:c r="C20" s="101" t="str">
        <x:f>IFERROR(VLOOKUP(B20,'工作清单'!$A$6:$D$114,4,FALSE),"")</x:f>
      </x:c>
      <x:c r="D20" s="101"/>
      <x:c r="E20" s="101"/>
      <x:c r="F20" s="101"/>
      <x:c r="G20" s="101"/>
      <x:c r="H20" s="101"/>
      <x:c r="I20" s="101"/>
    </x:row>
    <x:row r="21" ht="42" customHeight="1">
      <x:c r="A21" s="102"/>
      <x:c r="B21" s="101"/>
      <x:c r="C21" s="101" t="str">
        <x:f>IFERROR(VLOOKUP(B21,'工作清单'!$A$6:$D$114,4,FALSE),"")</x:f>
      </x:c>
      <x:c r="D21" s="101"/>
      <x:c r="E21" s="101"/>
      <x:c r="F21" s="101"/>
      <x:c r="G21" s="101"/>
      <x:c r="H21" s="101"/>
      <x:c r="I21" s="101"/>
    </x:row>
    <x:row r="22" ht="42" customHeight="1">
      <x:c r="A22" s="102"/>
      <x:c r="B22" s="101"/>
      <x:c r="C22" s="101" t="str">
        <x:f>IFERROR(VLOOKUP(B22,'工作清单'!$A$6:$D$114,4,FALSE),"")</x:f>
      </x:c>
      <x:c r="D22" s="101"/>
      <x:c r="E22" s="101"/>
      <x:c r="F22" s="101"/>
      <x:c r="G22" s="101"/>
      <x:c r="H22" s="101"/>
      <x:c r="I22" s="101"/>
    </x:row>
    <x:row r="23" ht="42" customHeight="1">
      <x:c r="A23" s="102"/>
      <x:c r="B23" s="101"/>
      <x:c r="C23" s="101" t="str">
        <x:f>IFERROR(VLOOKUP(B23,'工作清单'!$A$6:$D$114,4,FALSE),"")</x:f>
      </x:c>
      <x:c r="D23" s="101"/>
      <x:c r="E23" s="101"/>
      <x:c r="F23" s="101"/>
      <x:c r="G23" s="101"/>
      <x:c r="H23" s="101"/>
      <x:c r="I23" s="101"/>
    </x:row>
    <x:row r="24" ht="42" customHeight="1">
      <x:c r="A24" s="102"/>
      <x:c r="B24" s="101"/>
      <x:c r="C24" s="101" t="str">
        <x:f>IFERROR(VLOOKUP(B24,'工作清单'!$A$6:$D$114,4,FALSE),"")</x:f>
      </x:c>
      <x:c r="D24" s="101"/>
      <x:c r="E24" s="101"/>
      <x:c r="F24" s="101"/>
      <x:c r="G24" s="101"/>
      <x:c r="H24" s="101"/>
      <x:c r="I24" s="101"/>
    </x:row>
    <x:row r="25" ht="42" customHeight="1">
      <x:c r="A25" s="102"/>
      <x:c r="B25" s="101"/>
      <x:c r="C25" s="101" t="str">
        <x:f>IFERROR(VLOOKUP(B25,'工作清单'!$A$6:$D$114,4,FALSE),"")</x:f>
      </x:c>
      <x:c r="D25" s="101"/>
      <x:c r="E25" s="101"/>
      <x:c r="F25" s="101"/>
      <x:c r="G25" s="101"/>
      <x:c r="H25" s="101"/>
      <x:c r="I25" s="101"/>
    </x:row>
    <x:row r="26" ht="42" customHeight="1">
      <x:c r="A26" s="102"/>
      <x:c r="B26" s="101"/>
      <x:c r="C26" s="101" t="str">
        <x:f>IFERROR(VLOOKUP(B26,'工作清单'!$A$6:$D$114,4,FALSE),"")</x:f>
      </x:c>
      <x:c r="D26" s="101"/>
      <x:c r="E26" s="101"/>
      <x:c r="F26" s="101"/>
      <x:c r="G26" s="101"/>
      <x:c r="H26" s="101"/>
      <x:c r="I26" s="101"/>
    </x:row>
    <x:row r="27" ht="42" customHeight="1">
      <x:c r="A27" s="102"/>
      <x:c r="B27" s="101"/>
      <x:c r="C27" s="101" t="str">
        <x:f>IFERROR(VLOOKUP(B27,'工作清单'!$A$6:$D$114,4,FALSE),"")</x:f>
      </x:c>
      <x:c r="D27" s="101"/>
      <x:c r="E27" s="101"/>
      <x:c r="F27" s="101"/>
      <x:c r="G27" s="101"/>
      <x:c r="H27" s="101"/>
      <x:c r="I27" s="101"/>
    </x:row>
    <x:row r="28" ht="42" customHeight="1">
      <x:c r="A28" s="102"/>
      <x:c r="B28" s="101"/>
      <x:c r="C28" s="101" t="str">
        <x:f>IFERROR(VLOOKUP(B28,'工作清单'!$A$6:$D$114,4,FALSE),"")</x:f>
      </x:c>
      <x:c r="D28" s="101"/>
      <x:c r="E28" s="101"/>
      <x:c r="F28" s="101"/>
      <x:c r="G28" s="101"/>
      <x:c r="H28" s="101"/>
      <x:c r="I28" s="101"/>
    </x:row>
    <x:row r="29" ht="42" customHeight="1">
      <x:c r="A29" s="102"/>
      <x:c r="B29" s="101"/>
      <x:c r="C29" s="101" t="str">
        <x:f>IFERROR(VLOOKUP(B29,'工作清单'!$A$6:$D$114,4,FALSE),"")</x:f>
      </x:c>
      <x:c r="D29" s="101"/>
      <x:c r="E29" s="101"/>
      <x:c r="F29" s="101"/>
      <x:c r="G29" s="101"/>
      <x:c r="H29" s="101"/>
      <x:c r="I29" s="101"/>
    </x:row>
    <x:row r="30" ht="42" customHeight="1">
      <x:c r="A30" s="102"/>
      <x:c r="B30" s="101"/>
      <x:c r="C30" s="101" t="str">
        <x:f>IFERROR(VLOOKUP(B30,'工作清单'!$A$6:$D$114,4,FALSE),"")</x:f>
      </x:c>
      <x:c r="D30" s="101"/>
      <x:c r="E30" s="101"/>
      <x:c r="F30" s="101"/>
      <x:c r="G30" s="101"/>
      <x:c r="H30" s="101"/>
      <x:c r="I30" s="101"/>
    </x:row>
    <x:row r="31" ht="42" customHeight="1">
      <x:c r="A31" s="102"/>
      <x:c r="B31" s="101"/>
      <x:c r="C31" s="101" t="str">
        <x:f>IFERROR(VLOOKUP(B31,'工作清单'!$A$6:$D$114,4,FALSE),"")</x:f>
      </x:c>
      <x:c r="D31" s="101"/>
      <x:c r="E31" s="101"/>
      <x:c r="F31" s="101"/>
      <x:c r="G31" s="101"/>
      <x:c r="H31" s="101"/>
      <x:c r="I31" s="101"/>
    </x:row>
    <x:row r="32" ht="42" customHeight="1">
      <x:c r="A32" s="102"/>
      <x:c r="B32" s="101"/>
      <x:c r="C32" s="101" t="str">
        <x:f>IFERROR(VLOOKUP(B32,'工作清单'!$A$6:$D$114,4,FALSE),"")</x:f>
      </x:c>
      <x:c r="D32" s="101"/>
      <x:c r="E32" s="101"/>
      <x:c r="F32" s="101"/>
      <x:c r="G32" s="101"/>
      <x:c r="H32" s="101"/>
      <x:c r="I32" s="101"/>
    </x:row>
    <x:row r="33" ht="42" customHeight="1">
      <x:c r="A33" s="102"/>
      <x:c r="B33" s="101"/>
      <x:c r="C33" s="101" t="str">
        <x:f>IFERROR(VLOOKUP(B33,'工作清单'!$A$6:$D$114,4,FALSE),"")</x:f>
      </x:c>
      <x:c r="D33" s="101"/>
      <x:c r="E33" s="101"/>
      <x:c r="F33" s="101"/>
      <x:c r="G33" s="101"/>
      <x:c r="H33" s="101"/>
      <x:c r="I33" s="101"/>
    </x:row>
    <x:row r="34" ht="42" customHeight="1">
      <x:c r="A34" s="102"/>
      <x:c r="B34" s="101"/>
      <x:c r="C34" s="101" t="str">
        <x:f>IFERROR(VLOOKUP(B34,'工作清单'!$A$6:$D$114,4,FALSE),"")</x:f>
      </x:c>
      <x:c r="D34" s="101"/>
      <x:c r="E34" s="101"/>
      <x:c r="F34" s="101"/>
      <x:c r="G34" s="101"/>
      <x:c r="H34" s="101"/>
      <x:c r="I34" s="101"/>
    </x:row>
    <x:row r="35" ht="42" customHeight="1">
      <x:c r="A35" s="102"/>
      <x:c r="B35" s="101"/>
      <x:c r="C35" s="101" t="str">
        <x:f>IFERROR(VLOOKUP(B35,'工作清单'!$A$6:$D$114,4,FALSE),"")</x:f>
      </x:c>
      <x:c r="D35" s="101"/>
      <x:c r="E35" s="101"/>
      <x:c r="F35" s="101"/>
      <x:c r="G35" s="101"/>
      <x:c r="H35" s="101"/>
      <x:c r="I35" s="101"/>
    </x:row>
    <x:row r="36" ht="42" customHeight="1">
      <x:c r="A36" s="102"/>
      <x:c r="B36" s="101"/>
      <x:c r="C36" s="101" t="str">
        <x:f>IFERROR(VLOOKUP(B36,'工作清单'!$A$6:$D$114,4,FALSE),"")</x:f>
      </x:c>
      <x:c r="D36" s="101"/>
      <x:c r="E36" s="101"/>
      <x:c r="F36" s="101"/>
      <x:c r="G36" s="101"/>
      <x:c r="H36" s="101"/>
      <x:c r="I36" s="101"/>
    </x:row>
    <x:row r="37" ht="42" customHeight="1">
      <x:c r="A37" s="102"/>
      <x:c r="B37" s="101"/>
      <x:c r="C37" s="101" t="str">
        <x:f>IFERROR(VLOOKUP(B37,'工作清单'!$A$6:$D$114,4,FALSE),"")</x:f>
      </x:c>
      <x:c r="D37" s="101"/>
      <x:c r="E37" s="101"/>
      <x:c r="F37" s="101"/>
      <x:c r="G37" s="101"/>
      <x:c r="H37" s="101"/>
      <x:c r="I37" s="101"/>
    </x:row>
    <x:row r="38" ht="42" customHeight="1">
      <x:c r="A38" s="102"/>
      <x:c r="B38" s="101"/>
      <x:c r="C38" s="101" t="str">
        <x:f>IFERROR(VLOOKUP(B38,'工作清单'!$A$6:$D$114,4,FALSE),"")</x:f>
      </x:c>
      <x:c r="D38" s="101"/>
      <x:c r="E38" s="101"/>
      <x:c r="F38" s="101"/>
      <x:c r="G38" s="101"/>
      <x:c r="H38" s="101"/>
      <x:c r="I38" s="101"/>
    </x:row>
    <x:row r="39" ht="42" customHeight="1">
      <x:c r="A39" s="102"/>
      <x:c r="B39" s="101"/>
      <x:c r="C39" s="101" t="str">
        <x:f>IFERROR(VLOOKUP(B39,'工作清单'!$A$6:$D$114,4,FALSE),"")</x:f>
      </x:c>
      <x:c r="D39" s="101"/>
      <x:c r="E39" s="101"/>
      <x:c r="F39" s="101"/>
      <x:c r="G39" s="101"/>
      <x:c r="H39" s="101"/>
      <x:c r="I39" s="101"/>
    </x:row>
    <x:row r="40" ht="42" customHeight="1">
      <x:c r="A40" s="102"/>
      <x:c r="B40" s="101"/>
      <x:c r="C40" s="101" t="str">
        <x:f>IFERROR(VLOOKUP(B40,'工作清单'!$A$6:$D$114,4,FALSE),"")</x:f>
      </x:c>
      <x:c r="D40" s="101"/>
      <x:c r="E40" s="101"/>
      <x:c r="F40" s="101"/>
      <x:c r="G40" s="101"/>
      <x:c r="H40" s="101"/>
      <x:c r="I40" s="101"/>
    </x:row>
    <x:row r="41" ht="42" customHeight="1">
      <x:c r="A41" s="102"/>
      <x:c r="B41" s="101"/>
      <x:c r="C41" s="101" t="str">
        <x:f>IFERROR(VLOOKUP(B41,'工作清单'!$A$6:$D$114,4,FALSE),"")</x:f>
      </x:c>
      <x:c r="D41" s="101"/>
      <x:c r="E41" s="101"/>
      <x:c r="F41" s="101"/>
      <x:c r="G41" s="101"/>
      <x:c r="H41" s="101"/>
      <x:c r="I41" s="101"/>
    </x:row>
    <x:row r="42" ht="42" customHeight="1">
      <x:c r="A42" s="102"/>
      <x:c r="B42" s="101"/>
      <x:c r="C42" s="101" t="str">
        <x:f>IFERROR(VLOOKUP(B42,'工作清单'!$A$6:$D$114,4,FALSE),"")</x:f>
      </x:c>
      <x:c r="D42" s="101"/>
      <x:c r="E42" s="101"/>
      <x:c r="F42" s="101"/>
      <x:c r="G42" s="101"/>
      <x:c r="H42" s="101"/>
      <x:c r="I42" s="101"/>
    </x:row>
    <x:row r="43" ht="42" customHeight="1">
      <x:c r="A43" s="102"/>
      <x:c r="B43" s="101"/>
      <x:c r="C43" s="101" t="str">
        <x:f>IFERROR(VLOOKUP(B43,'工作清单'!$A$6:$D$114,4,FALSE),"")</x:f>
      </x:c>
      <x:c r="D43" s="101"/>
      <x:c r="E43" s="101"/>
      <x:c r="F43" s="101"/>
      <x:c r="G43" s="101"/>
      <x:c r="H43" s="101"/>
      <x:c r="I43" s="101"/>
    </x:row>
    <x:row r="44" ht="42" customHeight="1">
      <x:c r="A44" s="102"/>
      <x:c r="B44" s="101"/>
      <x:c r="C44" s="101" t="str">
        <x:f>IFERROR(VLOOKUP(B44,'工作清单'!$A$6:$D$114,4,FALSE),"")</x:f>
      </x:c>
      <x:c r="D44" s="101"/>
      <x:c r="E44" s="101"/>
      <x:c r="F44" s="101"/>
      <x:c r="G44" s="101"/>
      <x:c r="H44" s="101"/>
      <x:c r="I44" s="101"/>
    </x:row>
    <x:row r="45" ht="42" customHeight="1">
      <x:c r="A45" s="104"/>
      <x:c r="B45" s="103"/>
      <x:c r="C45" s="103" t="str">
        <x:f>IFERROR(VLOOKUP(B45,'工作清单'!$A$6:$D$114,4,FALSE),"")</x:f>
      </x:c>
      <x:c r="D45" s="103"/>
      <x:c r="E45" s="103"/>
      <x:c r="F45" s="103"/>
      <x:c r="G45" s="103"/>
      <x:c r="H45" s="103"/>
      <x:c r="I45" s="103"/>
    </x:row>
  </x:sheetData>
  <x:mergeCells>
    <x:mergeCell ref="A1:I1"/>
  </x:mergeCells>
  <x:conditionalFormatting sqref="G6:G45">
    <x:cfRule type="containsText" dxfId="20" priority="1" operator="containsText" text="已完成"/>
    <x:cfRule type="containsText" dxfId="21" priority="2" operator="containsText" text="进行中"/>
    <x:cfRule type="containsText" dxfId="22" priority="3" operator="containsText" text="待开始"/>
    <x:cfRule type="containsText" dxfId="23" priority="4" operator="containsText" text="阻塞"/>
    <x:cfRule type="containsText" dxfId="24" priority="5" operator="containsText" text="待外部"/>
    <x:cfRule type="containsText" dxfId="25" priority="6" operator="containsText" text="待验收"/>
  </x:conditionalFormatting>
  <x:dataValidations count="4">
    <x:dataValidation type="list" sqref="B6:B45">
      <x:formula1>'工作清单'!$A$6:$A$114</x:formula1>
    </x:dataValidation>
    <x:dataValidation type="list" sqref="G6:G45">
      <x:formula1>"已完成,进行中,待开始,阻塞,待外部,待验收"</x:formula1>
    </x:dataValidation>
    <x:dataValidation type="list" sqref="H6:H45">
      <x:formula1>"你,开发,产品,SEO,测试,数据,运维,法务,产品同学,开发+你,开发+产品,开发+SEO,SEO+开发,SEO+产品,测试+开发,测试+你,测试+SEO,测试+产品,产品+开发,产品+你,你+开发,你+法务,全体"</x:formula1>
    </x:dataValidation>
    <x:dataValidation type="decimal" operator="between" sqref="I6:I45">
      <x:formula1>0</x:formula1>
      <x:formula2>24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8a4ea41096343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3" hidden="0" customWidth="1"/>
    <x:col min="4" max="4" width="40" hidden="0" customWidth="1"/>
    <x:col min="5" max="5" width="11" hidden="0" customWidth="1"/>
    <x:col min="6" max="6" width="14" hidden="0" customWidth="1"/>
    <x:col min="7" max="7" width="38" hidden="0" customWidth="1"/>
    <x:col min="8" max="8" width="26" hidden="0" customWidth="1"/>
  </x:cols>
  <x:sheetData>
    <x:row r="1" ht="40" customHeight="1">
      <x:c r="A1" s="4" t="str">
        <x:v>项目里程碑与阶段验收</x:v>
      </x:c>
      <x:c r="B1" s="4"/>
      <x:c r="C1" s="4"/>
      <x:c r="D1" s="4"/>
      <x:c r="E1" s="4"/>
      <x:c r="F1" s="4"/>
      <x:c r="G1" s="4"/>
      <x:c r="H1" s="4"/>
    </x:row>
    <x:row r="2">
      <x:c r="A2" s="5" t="str">
        <x:v>里程碑状态应随关键任务完成情况每日复核；目标日期可根据外部依赖调整。</x:v>
      </x:c>
    </x:row>
    <x:row r="5">
      <x:c r="A5" s="17" t="str">
        <x:v>ID</x:v>
      </x:c>
      <x:c r="B5" s="18" t="str">
        <x:v>里程碑</x:v>
      </x:c>
      <x:c r="C5" s="18" t="str">
        <x:v>目标日期</x:v>
      </x:c>
      <x:c r="D5" s="18" t="str">
        <x:v>交付目标</x:v>
      </x:c>
      <x:c r="E5" s="18" t="str">
        <x:v>状态</x:v>
      </x:c>
      <x:c r="F5" s="18" t="str">
        <x:v>负责人</x:v>
      </x:c>
      <x:c r="G5" s="18" t="str">
        <x:v>验收标准</x:v>
      </x:c>
      <x:c r="H5" s="19" t="str">
        <x:v>关键依赖</x:v>
      </x:c>
    </x:row>
    <x:row r="6" ht="48" customHeight="1">
      <x:c r="A6" s="99" t="str">
        <x:v>M-01</x:v>
      </x:c>
      <x:c r="B6" s="99" t="str">
        <x:v>协作与域名就绪</x:v>
      </x:c>
      <x:c r="C6" s="100" t="n">
        <x:v>46234</x:v>
      </x:c>
      <x:c r="D6" s="99" t="str">
        <x:v>GitHub协作流程跑通；mahjonggame.org完成迁移</x:v>
      </x:c>
      <x:c r="E6" s="99" t="str">
        <x:v>待验收</x:v>
      </x:c>
      <x:c r="F6" s="99" t="str">
        <x:v>你+开发</x:v>
      </x:c>
      <x:c r="G6" s="99" t="str">
        <x:v>域名访问、HTTPS与5语言页面验收</x:v>
      </x:c>
      <x:c r="H6" s="99" t="str">
        <x:v>SEO-005</x:v>
      </x:c>
    </x:row>
    <x:row r="7" ht="48" customHeight="1">
      <x:c r="A7" s="101" t="str">
        <x:v>M-02</x:v>
      </x:c>
      <x:c r="B7" s="101" t="str">
        <x:v>数据库与后台可用</x:v>
      </x:c>
      <x:c r="C7" s="102" t="n">
        <x:v>46243</x:v>
      </x:c>
      <x:c r="D7" s="101" t="str">
        <x:v>Neon、migration、seed、管理员登录和后台E2E完成</x:v>
      </x:c>
      <x:c r="E7" s="101" t="str">
        <x:v>阻塞</x:v>
      </x:c>
      <x:c r="F7" s="101" t="str">
        <x:v>开发+你</x:v>
      </x:c>
      <x:c r="G7" s="101" t="str">
        <x:v>后台核心CRUD无P0问题</x:v>
      </x:c>
      <x:c r="H7" s="101" t="str">
        <x:v>DB-002,DB-004,QA-003</x:v>
      </x:c>
    </x:row>
    <x:row r="8" ht="48" customHeight="1">
      <x:c r="A8" s="101" t="str">
        <x:v>M-03</x:v>
      </x:c>
      <x:c r="B8" s="101" t="str">
        <x:v>真实登录与可信积分</x:v>
      </x:c>
      <x:c r="C8" s="102" t="n">
        <x:v>46246</x:v>
      </x:c>
      <x:c r="D8" s="101" t="str">
        <x:v>Google/FB/X真实Session，积分跨设备一致</x:v>
      </x:c>
      <x:c r="E8" s="101" t="str">
        <x:v>进行中</x:v>
      </x:c>
      <x:c r="F8" s="101" t="str">
        <x:v>开发+你</x:v>
      </x:c>
      <x:c r="G8" s="101" t="str">
        <x:v>三平台OAuth主流程已通过；可信积分跨设备仍待验收</x:v>
      </x:c>
      <x:c r="H8" s="101" t="str">
        <x:v>AUTH-003,AUTH-005,AUTH-007</x:v>
      </x:c>
    </x:row>
    <x:row r="9" ht="48" customHeight="1">
      <x:c r="A9" s="101" t="str">
        <x:v>M-04</x:v>
      </x:c>
      <x:c r="B9" s="101" t="str">
        <x:v>内容与SEO首批上线</x:v>
      </x:c>
      <x:c r="C9" s="102" t="n">
        <x:v>46256</x:v>
      </x:c>
      <x:c r="D9" s="101" t="str">
        <x:v>技术SEO过检，首批内容与结构化数据上线</x:v>
      </x:c>
      <x:c r="E9" s="101" t="str">
        <x:v>待开始</x:v>
      </x:c>
      <x:c r="F9" s="101" t="str">
        <x:v>SEO+开发</x:v>
      </x:c>
      <x:c r="G9" s="101" t="str">
        <x:v>GSC可抓取，Rich Results无错误</x:v>
      </x:c>
      <x:c r="H9" s="101" t="str">
        <x:v>SEO-006,SEO-010,SEO-011</x:v>
      </x:c>
    </x:row>
    <x:row r="10" ht="48" customHeight="1">
      <x:c r="A10" s="101" t="str">
        <x:v>M-05</x:v>
      </x:c>
      <x:c r="B10" s="101" t="str">
        <x:v>Shopify与支付跑通</x:v>
      </x:c>
      <x:c r="C10" s="102" t="n">
        <x:v>46259</x:v>
      </x:c>
      <x:c r="D10" s="101" t="str">
        <x:v>店铺、商品、支付及站点入口完成</x:v>
      </x:c>
      <x:c r="E10" s="101" t="str">
        <x:v>阻塞</x:v>
      </x:c>
      <x:c r="F10" s="101" t="str">
        <x:v>你+开发</x:v>
      </x:c>
      <x:c r="G10" s="101" t="str">
        <x:v>测试订单与退款全链路通过</x:v>
      </x:c>
      <x:c r="H10" s="101" t="str">
        <x:v>COM-001,COM-003,COM-008</x:v>
      </x:c>
    </x:row>
    <x:row r="11" ht="48" customHeight="1">
      <x:c r="A11" s="101" t="str">
        <x:v>M-06</x:v>
      </x:c>
      <x:c r="B11" s="101" t="str">
        <x:v>自研玩法联调</x:v>
      </x:c>
      <x:c r="C11" s="102" t="n">
        <x:v>46258</x:v>
      </x:c>
      <x:c r="D11" s="101" t="str">
        <x:v>核心玩法接入，身份、积分和统计贯通</x:v>
      </x:c>
      <x:c r="E11" s="101" t="str">
        <x:v>阻塞</x:v>
      </x:c>
      <x:c r="F11" s="101" t="str">
        <x:v>产品+开发</x:v>
      </x:c>
      <x:c r="G11" s="101" t="str">
        <x:v>玩法端到端测试通过</x:v>
      </x:c>
      <x:c r="H11" s="101" t="str">
        <x:v>GAME-001,GAME-002,GAME-004</x:v>
      </x:c>
    </x:row>
    <x:row r="12" ht="48" customHeight="1">
      <x:c r="A12" s="101" t="str">
        <x:v>M-07</x:v>
      </x:c>
      <x:c r="B12" s="101" t="str">
        <x:v>8月底软启动</x:v>
      </x:c>
      <x:c r="C12" s="102" t="n">
        <x:v>46265</x:v>
      </x:c>
      <x:c r="D12" s="101" t="str">
        <x:v>基础功能、商业化、监控和回滚准备完成</x:v>
      </x:c>
      <x:c r="E12" s="101" t="str">
        <x:v>阻塞</x:v>
      </x:c>
      <x:c r="F12" s="101" t="str">
        <x:v>全体</x:v>
      </x:c>
      <x:c r="G12" s="101" t="str">
        <x:v>发布清单全部通过，无P0缺陷</x:v>
      </x:c>
      <x:c r="H12" s="101" t="str">
        <x:v>QA-010</x:v>
      </x:c>
    </x:row>
    <x:row r="13" ht="48" customHeight="1">
      <x:c r="A13" s="103" t="str">
        <x:v>M-08</x:v>
      </x:c>
      <x:c r="B13" s="103" t="str">
        <x:v>上线后优化</x:v>
      </x:c>
      <x:c r="C13" s="104" t="n">
        <x:v>46295</x:v>
      </x:c>
      <x:c r="D13" s="103" t="str">
        <x:v>依据流量、留存与转化数据持续优化</x:v>
      </x:c>
      <x:c r="E13" s="103" t="str">
        <x:v>待开始</x:v>
      </x:c>
      <x:c r="F13" s="103" t="str">
        <x:v>全体</x:v>
      </x:c>
      <x:c r="G13" s="103" t="str">
        <x:v>形成月度数据复盘与迭代计划</x:v>
      </x:c>
      <x:c r="H13" s="103" t="str">
        <x:v>M-07</x:v>
      </x:c>
    </x:row>
  </x:sheetData>
  <x:mergeCells>
    <x:mergeCell ref="A1:H1"/>
  </x:mergeCells>
  <x:conditionalFormatting sqref="E6:E13">
    <x:cfRule type="containsText" dxfId="26" priority="1" operator="containsText" text="已完成"/>
    <x:cfRule type="containsText" dxfId="27" priority="2" operator="containsText" text="进行中"/>
    <x:cfRule type="containsText" dxfId="28" priority="3" operator="containsText" text="待开始"/>
    <x:cfRule type="containsText" dxfId="29" priority="4" operator="containsText" text="阻塞"/>
    <x:cfRule type="containsText" dxfId="30" priority="5" operator="containsText" text="待外部"/>
    <x:cfRule type="containsText" dxfId="31" priority="6" operator="containsText" text="待验收"/>
  </x:conditionalFormatting>
  <x:dataValidations count="1">
    <x:dataValidation type="list" sqref="E6:E13">
      <x:formula1>"已完成,进行中,待开始,阻塞,待外部,待验收"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9391abb26b46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70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40" customHeight="1">
      <x:c r="A1" s="4" t="str">
        <x:v>使用说明与状态口径</x:v>
      </x:c>
      <x:c r="B1" s="4"/>
      <x:c r="C1" s="4"/>
      <x:c r="D1" s="4"/>
      <x:c r="E1" s="4"/>
      <x:c r="F1" s="4"/>
    </x:row>
    <x:row r="2">
      <x:c r="A2" s="5" t="str">
        <x:v>建议每天更新“工作清单”的状态/下一步/最后更新，并在“每日推进”记录实际产出。</x:v>
      </x:c>
    </x:row>
    <x:row r="5">
      <x:c r="A5" s="17" t="str">
        <x:v>状态</x:v>
      </x:c>
      <x:c r="B5" s="18" t="str">
        <x:v>含义</x:v>
      </x:c>
      <x:c r="C5" s="19" t="str">
        <x:v>使用规则</x:v>
      </x:c>
    </x:row>
    <x:row r="6" ht="34" customHeight="1">
      <x:c r="A6" s="119" t="str">
        <x:v>已完成</x:v>
      </x:c>
      <x:c r="B6" s="119" t="str">
        <x:v>代码或业务交付已完成</x:v>
      </x:c>
      <x:c r="C6" s="119" t="str">
        <x:v>必须有验收标准或证据；若仍待线上检查，应使用“待验收”</x:v>
      </x:c>
    </x:row>
    <x:row r="7" ht="34" customHeight="1">
      <x:c r="A7" s="120" t="str">
        <x:v>进行中</x:v>
      </x:c>
      <x:c r="B7" s="120" t="str">
        <x:v>已经开始且当前有人执行</x:v>
      </x:c>
      <x:c r="C7" s="120" t="str">
        <x:v>下一步行动必须明确</x:v>
      </x:c>
    </x:row>
    <x:row r="8" ht="34" customHeight="1">
      <x:c r="A8" s="120" t="str">
        <x:v>待开始</x:v>
      </x:c>
      <x:c r="B8" s="120" t="str">
        <x:v>依赖已具备但尚未开始</x:v>
      </x:c>
      <x:c r="C8" s="120" t="str">
        <x:v>到期前应安排负责人</x:v>
      </x:c>
    </x:row>
    <x:row r="9" ht="34" customHeight="1">
      <x:c r="A9" s="120" t="str">
        <x:v>阻塞</x:v>
      </x:c>
      <x:c r="B9" s="120" t="str">
        <x:v>因前置依赖无法推进</x:v>
      </x:c>
      <x:c r="C9" s="120" t="str">
        <x:v>问题/阻塞列写明解除条件</x:v>
      </x:c>
    </x:row>
    <x:row r="10" ht="34" customHeight="1">
      <x:c r="A10" s="120" t="str">
        <x:v>待外部</x:v>
      </x:c>
      <x:c r="B10" s="120" t="str">
        <x:v>需要账号、凭证或他人输入</x:v>
      </x:c>
      <x:c r="C10" s="120" t="str">
        <x:v>标明外部负责人和承诺日期</x:v>
      </x:c>
    </x:row>
    <x:row r="11" ht="34" customHeight="1">
      <x:c r="A11" s="121" t="str">
        <x:v>待验收</x:v>
      </x:c>
      <x:c r="B11" s="121" t="str">
        <x:v>实施完成但尚未验证结果</x:v>
      </x:c>
      <x:c r="C11" s="121" t="str">
        <x:v>验收通过后改为“已完成”</x:v>
      </x:c>
    </x:row>
    <x:row r="14">
      <x:c r="A14" s="17" t="str">
        <x:v>每日例行动作</x:v>
      </x:c>
      <x:c r="B14" s="18" t="str">
        <x:v>时间</x:v>
      </x:c>
      <x:c r="C14" s="18" t="str">
        <x:v>操作人</x:v>
      </x:c>
      <x:c r="D14" s="18" t="str">
        <x:v>输出</x:v>
      </x:c>
      <x:c r="E14" s="18" t="str">
        <x:v>检查重点</x:v>
      </x:c>
      <x:c r="F14" s="19" t="str">
        <x:v>完成标志</x:v>
      </x:c>
    </x:row>
    <x:row r="15" ht="38" customHeight="1">
      <x:c r="A15" s="119" t="str">
        <x:v>晨会前更新</x:v>
      </x:c>
      <x:c r="B15" s="119" t="str">
        <x:v>09:30前</x:v>
      </x:c>
      <x:c r="C15" s="119" t="str">
        <x:v>各负责人</x:v>
      </x:c>
      <x:c r="D15" s="119" t="str">
        <x:v>更新状态、下一步、目标日期</x:v>
      </x:c>
      <x:c r="E15" s="119" t="str">
        <x:v>所有进行中任务有下一步</x:v>
      </x:c>
      <x:c r="F15" s="119" t="str">
        <x:v>最后更新为当天</x:v>
      </x:c>
    </x:row>
    <x:row r="16" ht="38" customHeight="1">
      <x:c r="A16" s="120" t="str">
        <x:v>每日站会</x:v>
      </x:c>
      <x:c r="B16" s="120" t="str">
        <x:v>10分钟</x:v>
      </x:c>
      <x:c r="C16" s="120" t="str">
        <x:v>全体</x:v>
      </x:c>
      <x:c r="D16" s="120" t="str">
        <x:v>聚焦P0和阻塞</x:v>
      </x:c>
      <x:c r="E16" s="120" t="str">
        <x:v>阻塞项明确解除人和时间</x:v>
      </x:c>
      <x:c r="F16" s="120" t="str">
        <x:v>产生明确行动项</x:v>
      </x:c>
    </x:row>
    <x:row r="17" ht="38" customHeight="1">
      <x:c r="A17" s="120" t="str">
        <x:v>开发结束检查</x:v>
      </x:c>
      <x:c r="B17" s="120" t="str">
        <x:v>下班前</x:v>
      </x:c>
      <x:c r="C17" s="120" t="str">
        <x:v>开发</x:v>
      </x:c>
      <x:c r="D17" s="120" t="str">
        <x:v>提交、测试、预览链接</x:v>
      </x:c>
      <x:c r="E17" s="120" t="str">
        <x:v>代码完成不等于验收完成</x:v>
      </x:c>
      <x:c r="F17" s="120" t="str">
        <x:v>证据填入当前说明</x:v>
      </x:c>
    </x:row>
    <x:row r="18" ht="38" customHeight="1">
      <x:c r="A18" s="120" t="str">
        <x:v>外部依赖追踪</x:v>
      </x:c>
      <x:c r="B18" s="120" t="str">
        <x:v>每日一次</x:v>
      </x:c>
      <x:c r="C18" s="120" t="str">
        <x:v>你/产品</x:v>
      </x:c>
      <x:c r="D18" s="120" t="str">
        <x:v>凭证、账号、供应商、产品输入</x:v>
      </x:c>
      <x:c r="E18" s="120" t="str">
        <x:v>避免等待无明确日期</x:v>
      </x:c>
      <x:c r="F18" s="120" t="str">
        <x:v>待外部项有承诺日期</x:v>
      </x:c>
    </x:row>
    <x:row r="19" ht="38" customHeight="1">
      <x:c r="A19" s="121" t="str">
        <x:v>周复盘</x:v>
      </x:c>
      <x:c r="B19" s="121" t="str">
        <x:v>每周五</x:v>
      </x:c>
      <x:c r="C19" s="121" t="str">
        <x:v>项目经理</x:v>
      </x:c>
      <x:c r="D19" s="121" t="str">
        <x:v>完成率、延期、风险和下周计划</x:v>
      </x:c>
      <x:c r="E19" s="121" t="str">
        <x:v>里程碑是否需要调整</x:v>
      </x:c>
      <x:c r="F19" s="121" t="str">
        <x:v>形成周报</x:v>
      </x:c>
    </x:row>
    <x:row r="22">
      <x:c r="A22" s="17" t="str">
        <x:v>优先级</x:v>
      </x:c>
      <x:c r="B22" s="18" t="str">
        <x:v>定义</x:v>
      </x:c>
      <x:c r="C22" s="19" t="str">
        <x:v>处理原则</x:v>
      </x:c>
    </x:row>
    <x:row r="23">
      <x:c r="A23" s="119" t="str">
        <x:v>P0</x:v>
      </x:c>
      <x:c r="B23" s="119" t="str">
        <x:v>阻塞上线、支付、数据安全或关键闭环</x:v>
      </x:c>
      <x:c r="C23" s="119" t="str">
        <x:v>优先于所有其他工作，每日跟踪</x:v>
      </x:c>
    </x:row>
    <x:row r="24">
      <x:c r="A24" s="120" t="str">
        <x:v>P1</x:v>
      </x:c>
      <x:c r="B24" s="120" t="str">
        <x:v>本阶段必须完成的重要能力</x:v>
      </x:c>
      <x:c r="C24" s="120" t="str">
        <x:v>按里程碑排期执行</x:v>
      </x:c>
    </x:row>
    <x:row r="25">
      <x:c r="A25" s="120" t="str">
        <x:v>P2</x:v>
      </x:c>
      <x:c r="B25" s="120" t="str">
        <x:v>体验、效率或增长增强</x:v>
      </x:c>
      <x:c r="C25" s="120" t="str">
        <x:v>不阻塞软启动，可并行推进</x:v>
      </x:c>
    </x:row>
    <x:row r="26">
      <x:c r="A26" s="121" t="str">
        <x:v>P3</x:v>
      </x:c>
      <x:c r="B26" s="121" t="str">
        <x:v>软启动后优化</x:v>
      </x:c>
      <x:c r="C26" s="121" t="str">
        <x:v>进入9月迭代池</x:v>
      </x:c>
    </x:row>
    <x:row r="29">
      <x:c r="A29" s="124" t="str">
        <x:v>数据来源</x:v>
      </x:c>
      <x:c r="B29" s="124" t="str">
        <x:v>本地仓库</x:v>
      </x:c>
      <x:c r="C29" s="124" t="str">
        <x:v>D:/codex-project/majiang/leona-nono-mahjong-hub</x:v>
      </x:c>
      <x:c r="D29" s="124" t="str"/>
      <x:c r="E29" s="124" t="str"/>
      <x:c r="F29" s="124" t="str"/>
    </x:row>
    <x:row r="30">
      <x:c r="A30" s="124" t="str">
        <x:v>计划来源</x:v>
      </x:c>
      <x:c r="B30" s="124" t="str">
        <x:v>GitHub文档</x:v>
      </x:c>
      <x:c r="C30" s="124" t="str">
        <x:v>https://github.com/leona-nono/mahjong-hub/blob/main/%E9%BA%BB%E5%B0%86%E5%87%BA%E6%B5%B7%E9%A1%B9%E7%9B%AE_%E5%BC%80%E5%8F%91%E8%AE%A1%E5%88%92%E4%B8%8E%E9%87%8C%E7%A8%8B%E7%A2%91.md</x:v>
      </x:c>
      <x:c r="D30" s="124" t="str"/>
      <x:c r="E30" s="124" t="str"/>
      <x:c r="F30" s="124" t="str"/>
    </x:row>
    <x:row r="31">
      <x:c r="A31" s="124" t="str">
        <x:v>状态基线</x:v>
      </x:c>
      <x:c r="B31" s="124" t="str">
        <x:v>代码审阅日期</x:v>
      </x:c>
      <x:c r="C31" s="124" t="str">
        <x:v>2026-07-31</x:v>
      </x:c>
      <x:c r="D31" s="124" t="str"/>
      <x:c r="E31" s="124" t="str"/>
      <x:c r="F31" s="124" t="str"/>
    </x:row>
    <x:row r="32">
      <x:c r="A32" s="124" t="str">
        <x:v>维护建议</x:v>
      </x:c>
      <x:c r="B32" s="124" t="str">
        <x:v>版本管理</x:v>
      </x:c>
      <x:c r="C32" s="124" t="str">
        <x:v>每次重要状态更新后提交Excel或导出周报快照</x:v>
      </x:c>
      <x:c r="D32" s="124" t="str"/>
      <x:c r="E32" s="124" t="str"/>
      <x:c r="F32" s="124" t="str"/>
    </x:row>
  </x:sheetData>
  <x:mergeCells>
    <x:mergeCell ref="A1:F1"/>
  </x:mergeCells>
  <x:conditionalFormatting sqref="A6:A11">
    <x:cfRule type="containsText" dxfId="32" priority="1" operator="containsText" text="已完成"/>
    <x:cfRule type="containsText" dxfId="33" priority="2" operator="containsText" text="进行中"/>
    <x:cfRule type="containsText" dxfId="34" priority="3" operator="containsText" text="待开始"/>
    <x:cfRule type="containsText" dxfId="35" priority="4" operator="containsText" text="阻塞"/>
    <x:cfRule type="containsText" dxfId="36" priority="5" operator="containsText" text="待外部"/>
    <x:cfRule type="containsText" dxfId="37" priority="6" operator="containsText" text="待验收"/>
  </x:conditionalFormatting>
  <x:pageMargins left="0.7" right="0.7" top="0.75" bottom="0.75" header="0.3" footer="0.3"/>
</x:worksheet>
</file>